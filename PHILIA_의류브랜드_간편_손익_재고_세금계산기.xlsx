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e11d07624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품 손익" sheetId="1" r:id="R90ff86d171794d14"/>
    <x:sheet xmlns:r="http://schemas.openxmlformats.org/officeDocument/2006/relationships" name="재고·판매" sheetId="2" r:id="R518d930b07c1421c"/>
    <x:sheet xmlns:r="http://schemas.openxmlformats.org/officeDocument/2006/relationships" name="세금 계산" sheetId="3" r:id="R29913fdf3f98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B7280"/>
      <x:name val="Carlito"/>
    </x:font>
    <x:font>
      <x:b/>
      <x:sz val="11"/>
      <x:color rgb="FF222222"/>
      <x:name val="Carlito"/>
    </x:font>
    <x:font>
      <x:b/>
      <x:sz val="11"/>
      <x:color rgb="FFC62828"/>
      <x:name val="Carlito"/>
    </x:font>
    <x:font>
      <x:b/>
      <x:sz val="11"/>
      <x:color rgb="FF1565C0"/>
      <x:name val="Carlito"/>
    </x:font>
    <x:font>
      <x:sz val="11"/>
      <x:color rgb="FFC62828"/>
      <x:name val="Carlito"/>
    </x:font>
    <x:font>
      <x:sz val="11"/>
      <x:color rgb="FF222222"/>
      <x:name val="Carlito"/>
    </x:font>
    <x:font>
      <x:b/>
      <x:sz val="11"/>
      <x:name val="Carlito"/>
    </x:font>
    <x:font>
      <x:sz val="11"/>
      <x:color rgb="FF333333"/>
      <x:name val="Carlito"/>
    </x:font>
    <x:font>
      <x:sz val="11"/>
      <x:color rgb="FF1565C0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213E"/>
      </x:patternFill>
    </x:fill>
    <x:fill>
      <x:patternFill patternType="solid">
        <x:fgColor rgb="FFEDEDED"/>
      </x:patternFill>
    </x:fill>
    <x:fill>
      <x:patternFill patternType="solid">
        <x:fgColor rgb="FFFDECEC"/>
      </x:patternFill>
    </x:fill>
    <x:fill>
      <x:patternFill patternType="solid">
        <x:fgColor rgb="FFEAF3FF"/>
      </x:patternFill>
    </x:fill>
    <x:fill>
      <x:patternFill patternType="solid">
        <x:fgColor rgb="FFFFF9EE"/>
      </x:patternFill>
    </x:fill>
    <x:fill>
      <x:patternFill patternType="solid">
        <x:fgColor rgb="FFF7F7F5"/>
      </x:patternFill>
    </x:fill>
  </x:fills>
  <x:borders count="6">
    <x:border/>
    <x:border/>
    <x:border>
      <x:bottom style="thin">
        <x:color rgb="FFD9D9D6"/>
      </x:bottom>
    </x:border>
    <x:border>
      <x:bottom style="thin">
        <x:color rgb="FFD9D9D6"/>
      </x:bottom>
    </x:border>
    <x:border>
      <x:bottom style="hair">
        <x:color rgb="FFEEEEEE"/>
      </x:bottom>
    </x:border>
    <x:border>
      <x:bottom style="hair">
        <x:color rgb="FFEEEEEE"/>
      </x:bottom>
    </x:border>
  </x:borders>
  <x:cellStyleXfs count="1">
    <x:xf numFmtId="0" fontId="0" fillId="0" borderId="0"/>
  </x:cellStyleXfs>
  <x:cellXfs count="2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0" fontId="7" fillId="6" borderId="5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200" fontId="6" fillId="6" borderId="4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5" fillId="6" borderId="4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0" fontId="6" fillId="6" borderId="5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5" fillId="6" borderId="5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vertical="center"/>
    </x:xf>
    <x:xf numFmtId="201" fontId="6" fillId="6" borderId="4" xfId="0" applyNumberFormat="1" applyFont="1" applyFill="1" applyBorder="1" applyAlignment="1">
      <x:alignment vertical="center"/>
    </x:xf>
    <x:xf numFmtId="201" fontId="6" fillId="6" borderId="1" xfId="0" applyNumberFormat="1" applyFont="1" applyFill="1" applyBorder="1" applyAlignment="1">
      <x:alignment vertical="center"/>
    </x:xf>
    <x:xf numFmtId="201" fontId="6" fillId="6" borderId="5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0"/>
    </x:xf>
    <x:xf numFmtId="0" fontId="4" fillId="4" borderId="2" xfId="0" applyNumberFormat="1" applyFont="1" applyFill="1" applyBorder="1" applyAlignment="1">
      <x:alignment horizontal="center" vertical="center" wrapText="0"/>
    </x:xf>
    <x:xf numFmtId="0" fontId="5" fillId="5" borderId="2" xfId="0" applyNumberFormat="1" applyFont="1" applyFill="1" applyBorder="1" applyAlignment="1">
      <x:alignment horizontal="center" vertical="center" wrapText="0"/>
    </x:xf>
    <x:xf numFmtId="0" fontId="7" fillId="6" borderId="0" xfId="0" applyNumberFormat="1" applyFont="1" applyFill="1" applyBorder="1" applyAlignment="1">
      <x:alignment vertical="center" wrapText="0"/>
    </x:xf>
    <x:xf numFmtId="200" fontId="6" fillId="6" borderId="0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200" fontId="5" fillId="6" borderId="0" xfId="0" applyNumberFormat="1" applyFont="1" applyFill="1" applyBorder="1" applyAlignment="1">
      <x:alignment vertical="center" wrapText="0"/>
    </x:xf>
    <x:xf numFmtId="201" fontId="6" fillId="6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vertical="center" wrapText="0"/>
    </x:xf>
    <x:xf numFmtId="201" fontId="5" fillId="0" borderId="0" xfId="0" applyNumberFormat="1" applyFont="1" applyFill="1" applyBorder="1" applyAlignment="1">
      <x:alignment vertical="center" wrapText="0"/>
    </x:xf>
    <x:xf numFmtId="0" fontId="7" fillId="6" borderId="4" xfId="0" applyNumberFormat="1" applyFont="1" applyFill="1" applyBorder="1" applyAlignment="1">
      <x:alignment vertical="center" wrapText="0"/>
    </x:xf>
    <x:xf numFmtId="200" fontId="6" fillId="6" borderId="4" xfId="0" applyNumberFormat="1" applyFont="1" applyFill="1" applyBorder="1" applyAlignment="1">
      <x:alignment vertical="center" wrapText="0"/>
    </x:xf>
    <x:xf numFmtId="200" fontId="6" fillId="0" borderId="4" xfId="0" applyNumberFormat="1" applyFont="1" applyFill="1" applyBorder="1" applyAlignment="1">
      <x:alignment vertical="center" wrapText="0"/>
    </x:xf>
    <x:xf numFmtId="200" fontId="5" fillId="6" borderId="4" xfId="0" applyNumberFormat="1" applyFont="1" applyFill="1" applyBorder="1" applyAlignment="1">
      <x:alignment vertical="center" wrapText="0"/>
    </x:xf>
    <x:xf numFmtId="201" fontId="6" fillId="6" borderId="4" xfId="0" applyNumberFormat="1" applyFont="1" applyFill="1" applyBorder="1" applyAlignment="1">
      <x:alignment vertical="center" wrapText="0"/>
    </x:xf>
    <x:xf numFmtId="200" fontId="5" fillId="0" borderId="4" xfId="0" applyNumberFormat="1" applyFont="1" applyFill="1" applyBorder="1" applyAlignment="1">
      <x:alignment vertical="center" wrapText="0"/>
    </x:xf>
    <x:xf numFmtId="201" fontId="5" fillId="0" borderId="4" xfId="0" applyNumberFormat="1" applyFont="1" applyFill="1" applyBorder="1" applyAlignment="1">
      <x:alignment vertical="center" wrapText="0"/>
    </x:xf>
    <x:xf numFmtId="0" fontId="3" fillId="3" borderId="3" xfId="0" applyNumberFormat="1" applyFont="1" applyFill="1" applyBorder="1" applyAlignment="1">
      <x:alignment horizontal="center" vertical="center" wrapText="0"/>
    </x:xf>
    <x:xf numFmtId="0" fontId="4" fillId="4" borderId="3" xfId="0" applyNumberFormat="1" applyFont="1" applyFill="1" applyBorder="1" applyAlignment="1">
      <x:alignment horizontal="center" vertical="center" wrapText="0"/>
    </x:xf>
    <x:xf numFmtId="0" fontId="5" fillId="5" borderId="3" xfId="0" applyNumberFormat="1" applyFont="1" applyFill="1" applyBorder="1" applyAlignment="1">
      <x:alignment horizontal="center" vertical="center" wrapText="0"/>
    </x:xf>
    <x:xf numFmtId="0" fontId="7" fillId="6" borderId="1" xfId="0" applyNumberFormat="1" applyFont="1" applyFill="1" applyBorder="1" applyAlignment="1">
      <x:alignment vertical="center" wrapText="0"/>
    </x:xf>
    <x:xf numFmtId="200" fontId="6" fillId="6" borderId="1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200" fontId="5" fillId="6" borderId="1" xfId="0" applyNumberFormat="1" applyFont="1" applyFill="1" applyBorder="1" applyAlignment="1">
      <x:alignment vertical="center" wrapText="0"/>
    </x:xf>
    <x:xf numFmtId="201" fontId="6" fillId="6" borderId="1" xfId="0" applyNumberFormat="1" applyFont="1" applyFill="1" applyBorder="1" applyAlignment="1">
      <x:alignment vertical="center" wrapText="0"/>
    </x:xf>
    <x:xf numFmtId="200" fontId="5" fillId="0" borderId="1" xfId="0" applyNumberFormat="1" applyFont="1" applyFill="1" applyBorder="1" applyAlignment="1">
      <x:alignment vertical="center" wrapText="0"/>
    </x:xf>
    <x:xf numFmtId="201" fontId="5" fillId="0" borderId="1" xfId="0" applyNumberFormat="1" applyFont="1" applyFill="1" applyBorder="1" applyAlignment="1">
      <x:alignment vertical="center" wrapText="0"/>
    </x:xf>
    <x:xf numFmtId="0" fontId="7" fillId="6" borderId="5" xfId="0" applyNumberFormat="1" applyFont="1" applyFill="1" applyBorder="1" applyAlignment="1">
      <x:alignment vertical="center" wrapText="0"/>
    </x:xf>
    <x:xf numFmtId="200" fontId="6" fillId="6" borderId="5" xfId="0" applyNumberFormat="1" applyFont="1" applyFill="1" applyBorder="1" applyAlignment="1">
      <x:alignment vertical="center" wrapText="0"/>
    </x:xf>
    <x:xf numFmtId="200" fontId="6" fillId="0" borderId="5" xfId="0" applyNumberFormat="1" applyFont="1" applyFill="1" applyBorder="1" applyAlignment="1">
      <x:alignment vertical="center" wrapText="0"/>
    </x:xf>
    <x:xf numFmtId="200" fontId="5" fillId="6" borderId="5" xfId="0" applyNumberFormat="1" applyFont="1" applyFill="1" applyBorder="1" applyAlignment="1">
      <x:alignment vertical="center" wrapText="0"/>
    </x:xf>
    <x:xf numFmtId="201" fontId="6" fillId="6" borderId="5" xfId="0" applyNumberFormat="1" applyFont="1" applyFill="1" applyBorder="1" applyAlignment="1">
      <x:alignment vertical="center" wrapText="0"/>
    </x:xf>
    <x:xf numFmtId="200" fontId="5" fillId="0" borderId="5" xfId="0" applyNumberFormat="1" applyFont="1" applyFill="1" applyBorder="1" applyAlignment="1">
      <x:alignment vertical="center" wrapText="0"/>
    </x:xf>
    <x:xf numFmtId="201" fontId="5" fillId="0" borderId="5" xfId="0" applyNumberFormat="1" applyFont="1" applyFill="1" applyBorder="1" applyAlignment="1">
      <x:alignment vertical="center" wrapText="0"/>
    </x:xf>
    <x:xf numFmtId="0" fontId="8" fillId="3" borderId="0" xfId="0" applyNumberFormat="1" applyFont="1" applyFill="1" applyBorder="1"/>
    <x:xf numFmtId="0" fontId="8" fillId="3" borderId="2" xfId="0" applyNumberFormat="1" applyFont="1" applyFill="1" applyBorder="1"/>
    <x:xf numFmtId="0" fontId="8" fillId="3" borderId="2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/>
    <x:xf numFmtId="0" fontId="8" fillId="3" borderId="3" xfId="0" applyNumberFormat="1" applyFont="1" applyFill="1" applyBorder="1"/>
    <x:xf numFmtId="0" fontId="8" fillId="3" borderId="3" xfId="0" applyNumberFormat="1" applyFont="1" applyFill="1" applyBorder="1" applyAlignment="1">
      <x:alignment horizontal="center"/>
    </x:xf>
    <x:xf numFmtId="0" fontId="8" fillId="6" borderId="2" xfId="0" applyNumberFormat="1" applyFont="1" applyFill="1" applyBorder="1" applyAlignment="1">
      <x:alignment horizontal="center"/>
    </x:xf>
    <x:xf numFmtId="0" fontId="8" fillId="6" borderId="3" xfId="0" applyNumberFormat="1" applyFont="1" applyFill="1" applyBorder="1" applyAlignment="1">
      <x:alignment horizontal="center"/>
    </x:xf>
    <x:xf numFmtId="0" fontId="8" fillId="5" borderId="2" xfId="0" applyNumberFormat="1" applyFont="1" applyFill="1" applyBorder="1" applyAlignment="1">
      <x:alignment horizontal="center"/>
    </x:xf>
    <x:xf numFmtId="0" fontId="8" fillId="5" borderId="3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0" fillId="6" borderId="4" xfId="0" applyNumberFormat="1" applyFont="1" applyFill="1" applyBorder="1"/>
    <x:xf numFmtId="0" fontId="9" fillId="6" borderId="4" xfId="0" applyNumberFormat="1" applyFont="1" applyFill="1" applyBorder="1"/>
    <x:xf numFmtId="0" fontId="10" fillId="0" borderId="4" xfId="0" applyNumberFormat="1" applyFont="1" applyFill="1" applyBorder="1"/>
    <x:xf numFmtId="0" fontId="0" fillId="6" borderId="5" xfId="0" applyNumberFormat="1" applyFont="1" applyFill="1" applyBorder="1"/>
    <x:xf numFmtId="0" fontId="9" fillId="6" borderId="5" xfId="0" applyNumberFormat="1" applyFont="1" applyFill="1" applyBorder="1"/>
    <x:xf numFmtId="0" fontId="10" fillId="0" borderId="5" xfId="0" applyNumberFormat="1" applyFont="1" applyFill="1" applyBorder="1"/>
    <x:xf numFmtId="202" fontId="9" fillId="6" borderId="0" xfId="0" applyNumberFormat="1" applyFont="1" applyFill="1" applyBorder="1"/>
    <x:xf numFmtId="202" fontId="0" fillId="0" borderId="0" xfId="0" applyNumberFormat="1" applyFont="1" applyFill="1" applyBorder="1"/>
    <x:xf numFmtId="202" fontId="10" fillId="0" borderId="0" xfId="0" applyNumberFormat="1" applyFont="1" applyFill="1" applyBorder="1"/>
    <x:xf numFmtId="202" fontId="9" fillId="6" borderId="4" xfId="0" applyNumberFormat="1" applyFont="1" applyFill="1" applyBorder="1"/>
    <x:xf numFmtId="202" fontId="0" fillId="0" borderId="4" xfId="0" applyNumberFormat="1" applyFont="1" applyFill="1" applyBorder="1"/>
    <x:xf numFmtId="202" fontId="10" fillId="0" borderId="4" xfId="0" applyNumberFormat="1" applyFont="1" applyFill="1" applyBorder="1"/>
    <x:xf numFmtId="202" fontId="9" fillId="6" borderId="1" xfId="0" applyNumberFormat="1" applyFont="1" applyFill="1" applyBorder="1"/>
    <x:xf numFmtId="202" fontId="0" fillId="0" borderId="1" xfId="0" applyNumberFormat="1" applyFont="1" applyFill="1" applyBorder="1"/>
    <x:xf numFmtId="202" fontId="10" fillId="0" borderId="1" xfId="0" applyNumberFormat="1" applyFont="1" applyFill="1" applyBorder="1"/>
    <x:xf numFmtId="202" fontId="9" fillId="6" borderId="5" xfId="0" applyNumberFormat="1" applyFont="1" applyFill="1" applyBorder="1"/>
    <x:xf numFmtId="202" fontId="0" fillId="0" borderId="5" xfId="0" applyNumberFormat="1" applyFont="1" applyFill="1" applyBorder="1"/>
    <x:xf numFmtId="202" fontId="10" fillId="0" borderId="5" xfId="0" applyNumberFormat="1" applyFont="1" applyFill="1" applyBorder="1"/>
    <x:xf numFmtId="200" fontId="10" fillId="0" borderId="0" xfId="0" applyNumberFormat="1" applyFont="1" applyFill="1" applyBorder="1"/>
    <x:xf numFmtId="200" fontId="10" fillId="0" borderId="4" xfId="0" applyNumberFormat="1" applyFont="1" applyFill="1" applyBorder="1"/>
    <x:xf numFmtId="200" fontId="10" fillId="0" borderId="1" xfId="0" applyNumberFormat="1" applyFont="1" applyFill="1" applyBorder="1"/>
    <x:xf numFmtId="200" fontId="10" fillId="0" borderId="5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1" xfId="0" applyNumberFormat="1" applyFont="1" applyFill="1" applyBorder="1"/>
    <x:xf numFmtId="0" fontId="0" fillId="7" borderId="3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1" xfId="0" applyNumberFormat="1" applyFont="1" applyFill="1" applyBorder="1"/>
    <x:xf numFmtId="0" fontId="5" fillId="7" borderId="3" xfId="0" applyNumberFormat="1" applyFont="1" applyFill="1" applyBorder="1"/>
    <x:xf numFmtId="200" fontId="5" fillId="7" borderId="0" xfId="0" applyNumberFormat="1" applyFont="1" applyFill="1" applyBorder="1"/>
    <x:xf numFmtId="200" fontId="5" fillId="7" borderId="2" xfId="0" applyNumberFormat="1" applyFont="1" applyFill="1" applyBorder="1"/>
    <x:xf numFmtId="200" fontId="5" fillId="7" borderId="1" xfId="0" applyNumberFormat="1" applyFont="1" applyFill="1" applyBorder="1"/>
    <x:xf numFmtId="200" fontId="5" fillId="7" borderId="3" xfId="0" applyNumberFormat="1" applyFont="1" applyFill="1" applyBorder="1"/>
    <x:xf numFmtId="202" fontId="0" fillId="7" borderId="0" xfId="0" applyNumberFormat="1" applyFont="1" applyFill="1" applyBorder="1"/>
    <x:xf numFmtId="202" fontId="0" fillId="7" borderId="1" xfId="0" applyNumberFormat="1" applyFont="1" applyFill="1" applyBorder="1"/>
    <x:xf numFmtId="0" fontId="8" fillId="3" borderId="2" xfId="0" applyNumberFormat="1" applyFont="1" applyFill="1" applyBorder="1" applyAlignment="1">
      <x:alignment wrapText="1"/>
    </x:xf>
    <x:xf numFmtId="0" fontId="8" fillId="3" borderId="2" xfId="0" applyNumberFormat="1" applyFont="1" applyFill="1" applyBorder="1" applyAlignment="1">
      <x:alignment horizont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wrapText="1"/>
    </x:xf>
    <x:xf numFmtId="0" fontId="8" fillId="3" borderId="3" xfId="0" applyNumberFormat="1" applyFont="1" applyFill="1" applyBorder="1" applyAlignment="1">
      <x:alignment horizontal="center" wrapText="1"/>
    </x:xf>
    <x:xf numFmtId="0" fontId="8" fillId="3" borderId="3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6" borderId="0" xfId="0" applyNumberFormat="1" applyFont="1" applyFill="1" applyBorder="1"/>
    <x:xf numFmtId="0" fontId="6" fillId="0" borderId="1" xfId="0" applyNumberFormat="1" applyFont="1" applyFill="1" applyBorder="1"/>
    <x:xf numFmtId="0" fontId="6" fillId="6" borderId="1" xfId="0" applyNumberFormat="1" applyFont="1" applyFill="1" applyBorder="1"/>
    <x:xf numFmtId="200" fontId="6" fillId="0" borderId="0" xfId="0" applyNumberFormat="1" applyFont="1" applyFill="1" applyBorder="1"/>
    <x:xf numFmtId="200" fontId="6" fillId="6" borderId="0" xfId="0" applyNumberFormat="1" applyFont="1" applyFill="1" applyBorder="1"/>
    <x:xf numFmtId="200" fontId="6" fillId="0" borderId="1" xfId="0" applyNumberFormat="1" applyFont="1" applyFill="1" applyBorder="1"/>
    <x:xf numFmtId="200" fontId="6" fillId="6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1" fontId="6" fillId="6" borderId="0" xfId="0" applyNumberFormat="1" applyFont="1" applyFill="1" applyBorder="1"/>
    <x:xf numFmtId="201" fontId="6" fillId="6" borderId="1" xfId="0" applyNumberFormat="1" applyFont="1" applyFill="1" applyBorder="1"/>
    <x:xf numFmtId="201" fontId="10" fillId="0" borderId="0" xfId="0" applyNumberFormat="1" applyFont="1" applyFill="1" applyBorder="1"/>
    <x:xf numFmtId="201" fontId="10" fillId="0" borderId="1" xfId="0" applyNumberFormat="1" applyFont="1" applyFill="1" applyBorder="1"/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0" fontId="4" fillId="7" borderId="1" xfId="0" applyNumberFormat="1" applyFont="1" applyFill="1" applyBorder="1"/>
    <x:xf numFmtId="200" fontId="4" fillId="7" borderId="1" xfId="0" applyNumberFormat="1" applyFont="1" applyFill="1" applyBorder="1"/>
    <x:xf numFmtId="201" fontId="5" fillId="7" borderId="2" xfId="0" applyNumberFormat="1" applyFont="1" applyFill="1" applyBorder="1"/>
  </x:cellXfs>
  <x:cellStyles count="1">
    <x:cellStyle name="Normal" xfId="0"/>
  </x:cellStyles>
  <x:dxfs count="1">
    <x:dxf>
      <x:font>
        <x:b/>
        <x:color rgb="FFC62828"/>
      </x:font>
      <x:fill>
        <x:patternFill patternType="solid">
          <x:bgColor rgb="FFFF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29b73db304364" /><Relationship Type="http://schemas.openxmlformats.org/officeDocument/2006/relationships/theme" Target="/xl/theme/theme1.xml" Id="Raa6b53eae01a4c5d" /><Relationship Type="http://schemas.openxmlformats.org/officeDocument/2006/relationships/sharedStrings" Target="/xl/sharedStrings.xml" Id="R83a7e862f1b145c2" /><Relationship Type="http://schemas.openxmlformats.org/officeDocument/2006/relationships/worksheet" Target="/xl/worksheets/sheet1.xml" Id="R90ff86d171794d14" /><Relationship Type="http://schemas.openxmlformats.org/officeDocument/2006/relationships/worksheet" Target="/xl/worksheets/sheet2.xml" Id="R518d930b07c1421c" /><Relationship Type="http://schemas.openxmlformats.org/officeDocument/2006/relationships/worksheet" Target="/xl/worksheets/sheet3.xml" Id="R29913fdf3f98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13" hidden="0" customWidth="1"/>
    <x:col min="5" max="5" width="11" hidden="0" customWidth="1"/>
    <x:col min="6" max="6" width="12" hidden="0" customWidth="1"/>
    <x:col min="7" max="7" width="12" hidden="0" customWidth="1"/>
    <x:col min="8" max="8" width="13" hidden="0" customWidth="1"/>
    <x:col min="9" max="9" width="12" hidden="0" customWidth="1"/>
    <x:col min="10" max="10" width="12" hidden="0" customWidth="1"/>
    <x:col min="11" max="11" width="11" hidden="0" customWidth="1"/>
    <x:col min="12" max="12" width="13" hidden="0" customWidth="1"/>
    <x:col min="13" max="13" width="13" hidden="0" customWidth="1"/>
    <x:col min="14" max="14" width="11" hidden="0" customWidth="1"/>
  </x:cols>
  <x:sheetData>
    <x:row r="1" ht="30" customHeight="1">
      <x:c r="A1" s="5" t="str">
        <x:v>PHILIA  |  상품별 손익 계산기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0" customHeight="1">
      <x:c r="A2" s="11" t="str">
        <x:v>빨강 = 나가는 돈   ·   파랑 = 들어오는 돈 / 이익   ·   연한 크림색 = 직접 입력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30" customHeight="1">
      <x:c r="A4" s="89" t="str">
        <x:v>SKU</x:v>
      </x:c>
      <x:c r="B4" s="89" t="str">
        <x:v>상품명</x:v>
      </x:c>
      <x:c r="C4" s="90" t="str">
        <x:v>매입가</x:v>
      </x:c>
      <x:c r="D4" s="90" t="str">
        <x:v>매입배송비</x:v>
      </x:c>
      <x:c r="E4" s="90" t="str">
        <x:v>부자재</x:v>
      </x:c>
      <x:c r="F4" s="90" t="str">
        <x:v>원가합계</x:v>
      </x:c>
      <x:c r="G4" s="91" t="str">
        <x:v>판매가</x:v>
      </x:c>
      <x:c r="H4" s="90" t="str">
        <x:v>판매배송비</x:v>
      </x:c>
      <x:c r="I4" s="90" t="str">
        <x:v>결제수수료율</x:v>
      </x:c>
      <x:c r="J4" s="90" t="str">
        <x:v>결제수수료</x:v>
      </x:c>
      <x:c r="K4" s="90" t="str">
        <x:v>광고비</x:v>
      </x:c>
      <x:c r="L4" s="90" t="str">
        <x:v>기타 판관비</x:v>
      </x:c>
      <x:c r="M4" s="91" t="str">
        <x:v>영업이익/개</x:v>
      </x:c>
      <x:c r="N4" s="91" t="str">
        <x:v>영업이익률</x:v>
      </x:c>
    </x:row>
    <x:row r="5">
      <x:c r="A5" s="92" t="str">
        <x:v>PH26FW-OT01</x:v>
      </x:c>
      <x:c r="B5" s="92" t="str">
        <x:v>Field Jacket</x:v>
      </x:c>
      <x:c r="C5" s="93" t="n">
        <x:v>65000</x:v>
      </x:c>
      <x:c r="D5" s="93" t="n">
        <x:v>3000</x:v>
      </x:c>
      <x:c r="E5" s="93" t="n">
        <x:v>2500</x:v>
      </x:c>
      <x:c r="F5" s="94" t="n">
        <x:f>SUM(C5:E5)</x:f>
        <x:v>70500</x:v>
      </x:c>
      <x:c r="G5" s="95" t="n">
        <x:v>159000</x:v>
      </x:c>
      <x:c r="H5" s="93" t="n">
        <x:v>3500</x:v>
      </x:c>
      <x:c r="I5" s="96" t="n">
        <x:v>0.038</x:v>
      </x:c>
      <x:c r="J5" s="94" t="n">
        <x:f>IF(G5="",0,G5*I5)</x:f>
        <x:v>6042</x:v>
      </x:c>
      <x:c r="K5" s="93" t="n">
        <x:v>12000</x:v>
      </x:c>
      <x:c r="L5" s="93" t="n">
        <x:v>2000</x:v>
      </x:c>
      <x:c r="M5" s="97" t="n">
        <x:f>IF(G5="",0,G5-F5-H5-J5-K5-L5)</x:f>
        <x:v>64958</x:v>
      </x:c>
      <x:c r="N5" s="98" t="n">
        <x:f>IFERROR(M5/G5,0)</x:f>
        <x:v>0.40854088050314463</x:v>
      </x:c>
    </x:row>
    <x:row r="6">
      <x:c r="A6" s="92"/>
      <x:c r="B6" s="92"/>
      <x:c r="C6" s="93"/>
      <x:c r="D6" s="93"/>
      <x:c r="E6" s="93"/>
      <x:c r="F6" s="94" t="n">
        <x:f>SUM(C6:E6)</x:f>
        <x:v>0</x:v>
      </x:c>
      <x:c r="G6" s="95"/>
      <x:c r="H6" s="93"/>
      <x:c r="I6" s="96" t="n">
        <x:v>0.038</x:v>
      </x:c>
      <x:c r="J6" s="94" t="n">
        <x:f>IF(G6="",0,G6*I6)</x:f>
        <x:v>0</x:v>
      </x:c>
      <x:c r="K6" s="93"/>
      <x:c r="L6" s="93"/>
      <x:c r="M6" s="97" t="n">
        <x:f>IF(G6="",0,G6-F6-H6-J6-K6-L6)</x:f>
        <x:v>0</x:v>
      </x:c>
      <x:c r="N6" s="98" t="n">
        <x:f>IFERROR(M6/G6,0)</x:f>
        <x:v>0</x:v>
      </x:c>
    </x:row>
    <x:row r="7">
      <x:c r="A7" s="92"/>
      <x:c r="B7" s="92"/>
      <x:c r="C7" s="93"/>
      <x:c r="D7" s="93"/>
      <x:c r="E7" s="93"/>
      <x:c r="F7" s="94" t="n">
        <x:f>SUM(C7:E7)</x:f>
        <x:v>0</x:v>
      </x:c>
      <x:c r="G7" s="95"/>
      <x:c r="H7" s="93"/>
      <x:c r="I7" s="96" t="n">
        <x:v>0.038</x:v>
      </x:c>
      <x:c r="J7" s="94" t="n">
        <x:f>IF(G7="",0,G7*I7)</x:f>
        <x:v>0</x:v>
      </x:c>
      <x:c r="K7" s="93"/>
      <x:c r="L7" s="93"/>
      <x:c r="M7" s="97" t="n">
        <x:f>IF(G7="",0,G7-F7-H7-J7-K7-L7)</x:f>
        <x:v>0</x:v>
      </x:c>
      <x:c r="N7" s="98" t="n">
        <x:f>IFERROR(M7/G7,0)</x:f>
        <x:v>0</x:v>
      </x:c>
    </x:row>
    <x:row r="8">
      <x:c r="A8" s="92"/>
      <x:c r="B8" s="92"/>
      <x:c r="C8" s="93"/>
      <x:c r="D8" s="93"/>
      <x:c r="E8" s="93"/>
      <x:c r="F8" s="94" t="n">
        <x:f>SUM(C8:E8)</x:f>
        <x:v>0</x:v>
      </x:c>
      <x:c r="G8" s="95"/>
      <x:c r="H8" s="93"/>
      <x:c r="I8" s="96" t="n">
        <x:v>0.038</x:v>
      </x:c>
      <x:c r="J8" s="94" t="n">
        <x:f>IF(G8="",0,G8*I8)</x:f>
        <x:v>0</x:v>
      </x:c>
      <x:c r="K8" s="93"/>
      <x:c r="L8" s="93"/>
      <x:c r="M8" s="97" t="n">
        <x:f>IF(G8="",0,G8-F8-H8-J8-K8-L8)</x:f>
        <x:v>0</x:v>
      </x:c>
      <x:c r="N8" s="98" t="n">
        <x:f>IFERROR(M8/G8,0)</x:f>
        <x:v>0</x:v>
      </x:c>
    </x:row>
    <x:row r="9">
      <x:c r="A9" s="92"/>
      <x:c r="B9" s="92"/>
      <x:c r="C9" s="93"/>
      <x:c r="D9" s="93"/>
      <x:c r="E9" s="93"/>
      <x:c r="F9" s="94" t="n">
        <x:f>SUM(C9:E9)</x:f>
        <x:v>0</x:v>
      </x:c>
      <x:c r="G9" s="95"/>
      <x:c r="H9" s="93"/>
      <x:c r="I9" s="96" t="n">
        <x:v>0.038</x:v>
      </x:c>
      <x:c r="J9" s="94" t="n">
        <x:f>IF(G9="",0,G9*I9)</x:f>
        <x:v>0</x:v>
      </x:c>
      <x:c r="K9" s="93"/>
      <x:c r="L9" s="93"/>
      <x:c r="M9" s="97" t="n">
        <x:f>IF(G9="",0,G9-F9-H9-J9-K9-L9)</x:f>
        <x:v>0</x:v>
      </x:c>
      <x:c r="N9" s="98" t="n">
        <x:f>IFERROR(M9/G9,0)</x:f>
        <x:v>0</x:v>
      </x:c>
    </x:row>
    <x:row r="10">
      <x:c r="A10" s="92"/>
      <x:c r="B10" s="92"/>
      <x:c r="C10" s="93"/>
      <x:c r="D10" s="93"/>
      <x:c r="E10" s="93"/>
      <x:c r="F10" s="94" t="n">
        <x:f>SUM(C10:E10)</x:f>
        <x:v>0</x:v>
      </x:c>
      <x:c r="G10" s="95"/>
      <x:c r="H10" s="93"/>
      <x:c r="I10" s="96" t="n">
        <x:v>0.038</x:v>
      </x:c>
      <x:c r="J10" s="94" t="n">
        <x:f>IF(G10="",0,G10*I10)</x:f>
        <x:v>0</x:v>
      </x:c>
      <x:c r="K10" s="93"/>
      <x:c r="L10" s="93"/>
      <x:c r="M10" s="97" t="n">
        <x:f>IF(G10="",0,G10-F10-H10-J10-K10-L10)</x:f>
        <x:v>0</x:v>
      </x:c>
      <x:c r="N10" s="98" t="n">
        <x:f>IFERROR(M10/G10,0)</x:f>
        <x:v>0</x:v>
      </x:c>
    </x:row>
    <x:row r="11">
      <x:c r="A11" s="92"/>
      <x:c r="B11" s="92"/>
      <x:c r="C11" s="93"/>
      <x:c r="D11" s="93"/>
      <x:c r="E11" s="93"/>
      <x:c r="F11" s="94" t="n">
        <x:f>SUM(C11:E11)</x:f>
        <x:v>0</x:v>
      </x:c>
      <x:c r="G11" s="95"/>
      <x:c r="H11" s="93"/>
      <x:c r="I11" s="96" t="n">
        <x:v>0.038</x:v>
      </x:c>
      <x:c r="J11" s="94" t="n">
        <x:f>IF(G11="",0,G11*I11)</x:f>
        <x:v>0</x:v>
      </x:c>
      <x:c r="K11" s="93"/>
      <x:c r="L11" s="93"/>
      <x:c r="M11" s="97" t="n">
        <x:f>IF(G11="",0,G11-F11-H11-J11-K11-L11)</x:f>
        <x:v>0</x:v>
      </x:c>
      <x:c r="N11" s="98" t="n">
        <x:f>IFERROR(M11/G11,0)</x:f>
        <x:v>0</x:v>
      </x:c>
    </x:row>
    <x:row r="12">
      <x:c r="A12" s="92"/>
      <x:c r="B12" s="92"/>
      <x:c r="C12" s="93"/>
      <x:c r="D12" s="93"/>
      <x:c r="E12" s="93"/>
      <x:c r="F12" s="94" t="n">
        <x:f>SUM(C12:E12)</x:f>
        <x:v>0</x:v>
      </x:c>
      <x:c r="G12" s="95"/>
      <x:c r="H12" s="93"/>
      <x:c r="I12" s="96" t="n">
        <x:v>0.038</x:v>
      </x:c>
      <x:c r="J12" s="94" t="n">
        <x:f>IF(G12="",0,G12*I12)</x:f>
        <x:v>0</x:v>
      </x:c>
      <x:c r="K12" s="93"/>
      <x:c r="L12" s="93"/>
      <x:c r="M12" s="97" t="n">
        <x:f>IF(G12="",0,G12-F12-H12-J12-K12-L12)</x:f>
        <x:v>0</x:v>
      </x:c>
      <x:c r="N12" s="98" t="n">
        <x:f>IFERROR(M12/G12,0)</x:f>
        <x:v>0</x:v>
      </x:c>
    </x:row>
    <x:row r="13">
      <x:c r="A13" s="92"/>
      <x:c r="B13" s="92"/>
      <x:c r="C13" s="93"/>
      <x:c r="D13" s="93"/>
      <x:c r="E13" s="93"/>
      <x:c r="F13" s="94" t="n">
        <x:f>SUM(C13:E13)</x:f>
        <x:v>0</x:v>
      </x:c>
      <x:c r="G13" s="95"/>
      <x:c r="H13" s="93"/>
      <x:c r="I13" s="96" t="n">
        <x:v>0.038</x:v>
      </x:c>
      <x:c r="J13" s="94" t="n">
        <x:f>IF(G13="",0,G13*I13)</x:f>
        <x:v>0</x:v>
      </x:c>
      <x:c r="K13" s="93"/>
      <x:c r="L13" s="93"/>
      <x:c r="M13" s="97" t="n">
        <x:f>IF(G13="",0,G13-F13-H13-J13-K13-L13)</x:f>
        <x:v>0</x:v>
      </x:c>
      <x:c r="N13" s="98" t="n">
        <x:f>IFERROR(M13/G13,0)</x:f>
        <x:v>0</x:v>
      </x:c>
    </x:row>
    <x:row r="14">
      <x:c r="A14" s="92"/>
      <x:c r="B14" s="92"/>
      <x:c r="C14" s="93"/>
      <x:c r="D14" s="93"/>
      <x:c r="E14" s="93"/>
      <x:c r="F14" s="94" t="n">
        <x:f>SUM(C14:E14)</x:f>
        <x:v>0</x:v>
      </x:c>
      <x:c r="G14" s="95"/>
      <x:c r="H14" s="93"/>
      <x:c r="I14" s="96" t="n">
        <x:v>0.038</x:v>
      </x:c>
      <x:c r="J14" s="94" t="n">
        <x:f>IF(G14="",0,G14*I14)</x:f>
        <x:v>0</x:v>
      </x:c>
      <x:c r="K14" s="93"/>
      <x:c r="L14" s="93"/>
      <x:c r="M14" s="97" t="n">
        <x:f>IF(G14="",0,G14-F14-H14-J14-K14-L14)</x:f>
        <x:v>0</x:v>
      </x:c>
      <x:c r="N14" s="98" t="n">
        <x:f>IFERROR(M14/G14,0)</x:f>
        <x:v>0</x:v>
      </x:c>
    </x:row>
    <x:row r="15">
      <x:c r="A15" s="92"/>
      <x:c r="B15" s="92"/>
      <x:c r="C15" s="93"/>
      <x:c r="D15" s="93"/>
      <x:c r="E15" s="93"/>
      <x:c r="F15" s="94" t="n">
        <x:f>SUM(C15:E15)</x:f>
        <x:v>0</x:v>
      </x:c>
      <x:c r="G15" s="95"/>
      <x:c r="H15" s="93"/>
      <x:c r="I15" s="96" t="n">
        <x:v>0.038</x:v>
      </x:c>
      <x:c r="J15" s="94" t="n">
        <x:f>IF(G15="",0,G15*I15)</x:f>
        <x:v>0</x:v>
      </x:c>
      <x:c r="K15" s="93"/>
      <x:c r="L15" s="93"/>
      <x:c r="M15" s="97" t="n">
        <x:f>IF(G15="",0,G15-F15-H15-J15-K15-L15)</x:f>
        <x:v>0</x:v>
      </x:c>
      <x:c r="N15" s="98" t="n">
        <x:f>IFERROR(M15/G15,0)</x:f>
        <x:v>0</x:v>
      </x:c>
    </x:row>
    <x:row r="16">
      <x:c r="A16" s="92"/>
      <x:c r="B16" s="92"/>
      <x:c r="C16" s="93"/>
      <x:c r="D16" s="93"/>
      <x:c r="E16" s="93"/>
      <x:c r="F16" s="94" t="n">
        <x:f>SUM(C16:E16)</x:f>
        <x:v>0</x:v>
      </x:c>
      <x:c r="G16" s="95"/>
      <x:c r="H16" s="93"/>
      <x:c r="I16" s="96" t="n">
        <x:v>0.038</x:v>
      </x:c>
      <x:c r="J16" s="94" t="n">
        <x:f>IF(G16="",0,G16*I16)</x:f>
        <x:v>0</x:v>
      </x:c>
      <x:c r="K16" s="93"/>
      <x:c r="L16" s="93"/>
      <x:c r="M16" s="97" t="n">
        <x:f>IF(G16="",0,G16-F16-H16-J16-K16-L16)</x:f>
        <x:v>0</x:v>
      </x:c>
      <x:c r="N16" s="98" t="n">
        <x:f>IFERROR(M16/G16,0)</x:f>
        <x:v>0</x:v>
      </x:c>
    </x:row>
    <x:row r="17">
      <x:c r="A17" s="92"/>
      <x:c r="B17" s="92"/>
      <x:c r="C17" s="93"/>
      <x:c r="D17" s="93"/>
      <x:c r="E17" s="93"/>
      <x:c r="F17" s="94" t="n">
        <x:f>SUM(C17:E17)</x:f>
        <x:v>0</x:v>
      </x:c>
      <x:c r="G17" s="95"/>
      <x:c r="H17" s="93"/>
      <x:c r="I17" s="96" t="n">
        <x:v>0.038</x:v>
      </x:c>
      <x:c r="J17" s="94" t="n">
        <x:f>IF(G17="",0,G17*I17)</x:f>
        <x:v>0</x:v>
      </x:c>
      <x:c r="K17" s="93"/>
      <x:c r="L17" s="93"/>
      <x:c r="M17" s="97" t="n">
        <x:f>IF(G17="",0,G17-F17-H17-J17-K17-L17)</x:f>
        <x:v>0</x:v>
      </x:c>
      <x:c r="N17" s="98" t="n">
        <x:f>IFERROR(M17/G17,0)</x:f>
        <x:v>0</x:v>
      </x:c>
    </x:row>
    <x:row r="18">
      <x:c r="A18" s="92"/>
      <x:c r="B18" s="92"/>
      <x:c r="C18" s="93"/>
      <x:c r="D18" s="93"/>
      <x:c r="E18" s="93"/>
      <x:c r="F18" s="94" t="n">
        <x:f>SUM(C18:E18)</x:f>
        <x:v>0</x:v>
      </x:c>
      <x:c r="G18" s="95"/>
      <x:c r="H18" s="93"/>
      <x:c r="I18" s="96" t="n">
        <x:v>0.038</x:v>
      </x:c>
      <x:c r="J18" s="94" t="n">
        <x:f>IF(G18="",0,G18*I18)</x:f>
        <x:v>0</x:v>
      </x:c>
      <x:c r="K18" s="93"/>
      <x:c r="L18" s="93"/>
      <x:c r="M18" s="97" t="n">
        <x:f>IF(G18="",0,G18-F18-H18-J18-K18-L18)</x:f>
        <x:v>0</x:v>
      </x:c>
      <x:c r="N18" s="98" t="n">
        <x:f>IFERROR(M18/G18,0)</x:f>
        <x:v>0</x:v>
      </x:c>
    </x:row>
    <x:row r="19">
      <x:c r="A19" s="92"/>
      <x:c r="B19" s="92"/>
      <x:c r="C19" s="93"/>
      <x:c r="D19" s="93"/>
      <x:c r="E19" s="93"/>
      <x:c r="F19" s="94" t="n">
        <x:f>SUM(C19:E19)</x:f>
        <x:v>0</x:v>
      </x:c>
      <x:c r="G19" s="95"/>
      <x:c r="H19" s="93"/>
      <x:c r="I19" s="96" t="n">
        <x:v>0.038</x:v>
      </x:c>
      <x:c r="J19" s="94" t="n">
        <x:f>IF(G19="",0,G19*I19)</x:f>
        <x:v>0</x:v>
      </x:c>
      <x:c r="K19" s="93"/>
      <x:c r="L19" s="93"/>
      <x:c r="M19" s="97" t="n">
        <x:f>IF(G19="",0,G19-F19-H19-J19-K19-L19)</x:f>
        <x:v>0</x:v>
      </x:c>
      <x:c r="N19" s="98" t="n">
        <x:f>IFERROR(M19/G19,0)</x:f>
        <x:v>0</x:v>
      </x:c>
    </x:row>
    <x:row r="20">
      <x:c r="A20" s="92"/>
      <x:c r="B20" s="92"/>
      <x:c r="C20" s="93"/>
      <x:c r="D20" s="93"/>
      <x:c r="E20" s="93"/>
      <x:c r="F20" s="94" t="n">
        <x:f>SUM(C20:E20)</x:f>
        <x:v>0</x:v>
      </x:c>
      <x:c r="G20" s="95"/>
      <x:c r="H20" s="93"/>
      <x:c r="I20" s="96" t="n">
        <x:v>0.038</x:v>
      </x:c>
      <x:c r="J20" s="94" t="n">
        <x:f>IF(G20="",0,G20*I20)</x:f>
        <x:v>0</x:v>
      </x:c>
      <x:c r="K20" s="93"/>
      <x:c r="L20" s="93"/>
      <x:c r="M20" s="97" t="n">
        <x:f>IF(G20="",0,G20-F20-H20-J20-K20-L20)</x:f>
        <x:v>0</x:v>
      </x:c>
      <x:c r="N20" s="98" t="n">
        <x:f>IFERROR(M20/G20,0)</x:f>
        <x:v>0</x:v>
      </x:c>
    </x:row>
    <x:row r="21">
      <x:c r="A21" s="92"/>
      <x:c r="B21" s="92"/>
      <x:c r="C21" s="93"/>
      <x:c r="D21" s="93"/>
      <x:c r="E21" s="93"/>
      <x:c r="F21" s="94" t="n">
        <x:f>SUM(C21:E21)</x:f>
        <x:v>0</x:v>
      </x:c>
      <x:c r="G21" s="95"/>
      <x:c r="H21" s="93"/>
      <x:c r="I21" s="96" t="n">
        <x:v>0.038</x:v>
      </x:c>
      <x:c r="J21" s="94" t="n">
        <x:f>IF(G21="",0,G21*I21)</x:f>
        <x:v>0</x:v>
      </x:c>
      <x:c r="K21" s="93"/>
      <x:c r="L21" s="93"/>
      <x:c r="M21" s="97" t="n">
        <x:f>IF(G21="",0,G21-F21-H21-J21-K21-L21)</x:f>
        <x:v>0</x:v>
      </x:c>
      <x:c r="N21" s="98" t="n">
        <x:f>IFERROR(M21/G21,0)</x:f>
        <x:v>0</x:v>
      </x:c>
    </x:row>
    <x:row r="22">
      <x:c r="A22" s="92"/>
      <x:c r="B22" s="92"/>
      <x:c r="C22" s="93"/>
      <x:c r="D22" s="93"/>
      <x:c r="E22" s="93"/>
      <x:c r="F22" s="94" t="n">
        <x:f>SUM(C22:E22)</x:f>
        <x:v>0</x:v>
      </x:c>
      <x:c r="G22" s="95"/>
      <x:c r="H22" s="93"/>
      <x:c r="I22" s="96" t="n">
        <x:v>0.038</x:v>
      </x:c>
      <x:c r="J22" s="94" t="n">
        <x:f>IF(G22="",0,G22*I22)</x:f>
        <x:v>0</x:v>
      </x:c>
      <x:c r="K22" s="93"/>
      <x:c r="L22" s="93"/>
      <x:c r="M22" s="97" t="n">
        <x:f>IF(G22="",0,G22-F22-H22-J22-K22-L22)</x:f>
        <x:v>0</x:v>
      </x:c>
      <x:c r="N22" s="98" t="n">
        <x:f>IFERROR(M22/G22,0)</x:f>
        <x:v>0</x:v>
      </x:c>
    </x:row>
    <x:row r="23">
      <x:c r="A23" s="92"/>
      <x:c r="B23" s="92"/>
      <x:c r="C23" s="93"/>
      <x:c r="D23" s="93"/>
      <x:c r="E23" s="93"/>
      <x:c r="F23" s="94" t="n">
        <x:f>SUM(C23:E23)</x:f>
        <x:v>0</x:v>
      </x:c>
      <x:c r="G23" s="95"/>
      <x:c r="H23" s="93"/>
      <x:c r="I23" s="96" t="n">
        <x:v>0.038</x:v>
      </x:c>
      <x:c r="J23" s="94" t="n">
        <x:f>IF(G23="",0,G23*I23)</x:f>
        <x:v>0</x:v>
      </x:c>
      <x:c r="K23" s="93"/>
      <x:c r="L23" s="93"/>
      <x:c r="M23" s="97" t="n">
        <x:f>IF(G23="",0,G23-F23-H23-J23-K23-L23)</x:f>
        <x:v>0</x:v>
      </x:c>
      <x:c r="N23" s="98" t="n">
        <x:f>IFERROR(M23/G23,0)</x:f>
        <x:v>0</x:v>
      </x:c>
    </x:row>
    <x:row r="24">
      <x:c r="A24" s="92"/>
      <x:c r="B24" s="92"/>
      <x:c r="C24" s="93"/>
      <x:c r="D24" s="93"/>
      <x:c r="E24" s="93"/>
      <x:c r="F24" s="94" t="n">
        <x:f>SUM(C24:E24)</x:f>
        <x:v>0</x:v>
      </x:c>
      <x:c r="G24" s="95"/>
      <x:c r="H24" s="93"/>
      <x:c r="I24" s="96" t="n">
        <x:v>0.038</x:v>
      </x:c>
      <x:c r="J24" s="94" t="n">
        <x:f>IF(G24="",0,G24*I24)</x:f>
        <x:v>0</x:v>
      </x:c>
      <x:c r="K24" s="93"/>
      <x:c r="L24" s="93"/>
      <x:c r="M24" s="97" t="n">
        <x:f>IF(G24="",0,G24-F24-H24-J24-K24-L24)</x:f>
        <x:v>0</x:v>
      </x:c>
      <x:c r="N24" s="98" t="n">
        <x:f>IFERROR(M24/G24,0)</x:f>
        <x:v>0</x:v>
      </x:c>
    </x:row>
    <x:row r="25">
      <x:c r="A25" s="92"/>
      <x:c r="B25" s="92"/>
      <x:c r="C25" s="93"/>
      <x:c r="D25" s="93"/>
      <x:c r="E25" s="93"/>
      <x:c r="F25" s="94" t="n">
        <x:f>SUM(C25:E25)</x:f>
        <x:v>0</x:v>
      </x:c>
      <x:c r="G25" s="95"/>
      <x:c r="H25" s="93"/>
      <x:c r="I25" s="96" t="n">
        <x:v>0.038</x:v>
      </x:c>
      <x:c r="J25" s="94" t="n">
        <x:f>IF(G25="",0,G25*I25)</x:f>
        <x:v>0</x:v>
      </x:c>
      <x:c r="K25" s="93"/>
      <x:c r="L25" s="93"/>
      <x:c r="M25" s="97" t="n">
        <x:f>IF(G25="",0,G25-F25-H25-J25-K25-L25)</x:f>
        <x:v>0</x:v>
      </x:c>
      <x:c r="N25" s="98" t="n">
        <x:f>IFERROR(M25/G25,0)</x:f>
        <x:v>0</x:v>
      </x:c>
    </x:row>
    <x:row r="26">
      <x:c r="A26" s="92"/>
      <x:c r="B26" s="92"/>
      <x:c r="C26" s="93"/>
      <x:c r="D26" s="93"/>
      <x:c r="E26" s="93"/>
      <x:c r="F26" s="94" t="n">
        <x:f>SUM(C26:E26)</x:f>
        <x:v>0</x:v>
      </x:c>
      <x:c r="G26" s="95"/>
      <x:c r="H26" s="93"/>
      <x:c r="I26" s="96" t="n">
        <x:v>0.038</x:v>
      </x:c>
      <x:c r="J26" s="94" t="n">
        <x:f>IF(G26="",0,G26*I26)</x:f>
        <x:v>0</x:v>
      </x:c>
      <x:c r="K26" s="93"/>
      <x:c r="L26" s="93"/>
      <x:c r="M26" s="97" t="n">
        <x:f>IF(G26="",0,G26-F26-H26-J26-K26-L26)</x:f>
        <x:v>0</x:v>
      </x:c>
      <x:c r="N26" s="98" t="n">
        <x:f>IFERROR(M26/G26,0)</x:f>
        <x:v>0</x:v>
      </x:c>
    </x:row>
    <x:row r="27">
      <x:c r="A27" s="92"/>
      <x:c r="B27" s="92"/>
      <x:c r="C27" s="93"/>
      <x:c r="D27" s="93"/>
      <x:c r="E27" s="93"/>
      <x:c r="F27" s="94" t="n">
        <x:f>SUM(C27:E27)</x:f>
        <x:v>0</x:v>
      </x:c>
      <x:c r="G27" s="95"/>
      <x:c r="H27" s="93"/>
      <x:c r="I27" s="96" t="n">
        <x:v>0.038</x:v>
      </x:c>
      <x:c r="J27" s="94" t="n">
        <x:f>IF(G27="",0,G27*I27)</x:f>
        <x:v>0</x:v>
      </x:c>
      <x:c r="K27" s="93"/>
      <x:c r="L27" s="93"/>
      <x:c r="M27" s="97" t="n">
        <x:f>IF(G27="",0,G27-F27-H27-J27-K27-L27)</x:f>
        <x:v>0</x:v>
      </x:c>
      <x:c r="N27" s="98" t="n">
        <x:f>IFERROR(M27/G27,0)</x:f>
        <x:v>0</x:v>
      </x:c>
    </x:row>
    <x:row r="28">
      <x:c r="A28" s="92"/>
      <x:c r="B28" s="92"/>
      <x:c r="C28" s="93"/>
      <x:c r="D28" s="93"/>
      <x:c r="E28" s="93"/>
      <x:c r="F28" s="94" t="n">
        <x:f>SUM(C28:E28)</x:f>
        <x:v>0</x:v>
      </x:c>
      <x:c r="G28" s="95"/>
      <x:c r="H28" s="93"/>
      <x:c r="I28" s="96" t="n">
        <x:v>0.038</x:v>
      </x:c>
      <x:c r="J28" s="94" t="n">
        <x:f>IF(G28="",0,G28*I28)</x:f>
        <x:v>0</x:v>
      </x:c>
      <x:c r="K28" s="93"/>
      <x:c r="L28" s="93"/>
      <x:c r="M28" s="97" t="n">
        <x:f>IF(G28="",0,G28-F28-H28-J28-K28-L28)</x:f>
        <x:v>0</x:v>
      </x:c>
      <x:c r="N28" s="98" t="n">
        <x:f>IFERROR(M28/G28,0)</x:f>
        <x:v>0</x:v>
      </x:c>
    </x:row>
    <x:row r="29">
      <x:c r="A29" s="92"/>
      <x:c r="B29" s="92"/>
      <x:c r="C29" s="93"/>
      <x:c r="D29" s="93"/>
      <x:c r="E29" s="93"/>
      <x:c r="F29" s="94" t="n">
        <x:f>SUM(C29:E29)</x:f>
        <x:v>0</x:v>
      </x:c>
      <x:c r="G29" s="95"/>
      <x:c r="H29" s="93"/>
      <x:c r="I29" s="96" t="n">
        <x:v>0.038</x:v>
      </x:c>
      <x:c r="J29" s="94" t="n">
        <x:f>IF(G29="",0,G29*I29)</x:f>
        <x:v>0</x:v>
      </x:c>
      <x:c r="K29" s="93"/>
      <x:c r="L29" s="93"/>
      <x:c r="M29" s="97" t="n">
        <x:f>IF(G29="",0,G29-F29-H29-J29-K29-L29)</x:f>
        <x:v>0</x:v>
      </x:c>
      <x:c r="N29" s="98" t="n">
        <x:f>IFERROR(M29/G29,0)</x:f>
        <x:v>0</x:v>
      </x:c>
    </x:row>
    <x:row r="30">
      <x:c r="A30" s="92"/>
      <x:c r="B30" s="92"/>
      <x:c r="C30" s="93"/>
      <x:c r="D30" s="93"/>
      <x:c r="E30" s="93"/>
      <x:c r="F30" s="94" t="n">
        <x:f>SUM(C30:E30)</x:f>
        <x:v>0</x:v>
      </x:c>
      <x:c r="G30" s="95"/>
      <x:c r="H30" s="93"/>
      <x:c r="I30" s="96" t="n">
        <x:v>0.038</x:v>
      </x:c>
      <x:c r="J30" s="94" t="n">
        <x:f>IF(G30="",0,G30*I30)</x:f>
        <x:v>0</x:v>
      </x:c>
      <x:c r="K30" s="93"/>
      <x:c r="L30" s="93"/>
      <x:c r="M30" s="97" t="n">
        <x:f>IF(G30="",0,G30-F30-H30-J30-K30-L30)</x:f>
        <x:v>0</x:v>
      </x:c>
      <x:c r="N30" s="98" t="n">
        <x:f>IFERROR(M30/G30,0)</x:f>
        <x:v>0</x:v>
      </x:c>
    </x:row>
    <x:row r="31">
      <x:c r="A31" s="92"/>
      <x:c r="B31" s="92"/>
      <x:c r="C31" s="93"/>
      <x:c r="D31" s="93"/>
      <x:c r="E31" s="93"/>
      <x:c r="F31" s="94" t="n">
        <x:f>SUM(C31:E31)</x:f>
        <x:v>0</x:v>
      </x:c>
      <x:c r="G31" s="95"/>
      <x:c r="H31" s="93"/>
      <x:c r="I31" s="96" t="n">
        <x:v>0.038</x:v>
      </x:c>
      <x:c r="J31" s="94" t="n">
        <x:f>IF(G31="",0,G31*I31)</x:f>
        <x:v>0</x:v>
      </x:c>
      <x:c r="K31" s="93"/>
      <x:c r="L31" s="93"/>
      <x:c r="M31" s="97" t="n">
        <x:f>IF(G31="",0,G31-F31-H31-J31-K31-L31)</x:f>
        <x:v>0</x:v>
      </x:c>
      <x:c r="N31" s="98" t="n">
        <x:f>IFERROR(M31/G31,0)</x:f>
        <x:v>0</x:v>
      </x:c>
    </x:row>
    <x:row r="32">
      <x:c r="A32" s="92"/>
      <x:c r="B32" s="92"/>
      <x:c r="C32" s="93"/>
      <x:c r="D32" s="93"/>
      <x:c r="E32" s="93"/>
      <x:c r="F32" s="94" t="n">
        <x:f>SUM(C32:E32)</x:f>
        <x:v>0</x:v>
      </x:c>
      <x:c r="G32" s="95"/>
      <x:c r="H32" s="93"/>
      <x:c r="I32" s="96" t="n">
        <x:v>0.038</x:v>
      </x:c>
      <x:c r="J32" s="94" t="n">
        <x:f>IF(G32="",0,G32*I32)</x:f>
        <x:v>0</x:v>
      </x:c>
      <x:c r="K32" s="93"/>
      <x:c r="L32" s="93"/>
      <x:c r="M32" s="97" t="n">
        <x:f>IF(G32="",0,G32-F32-H32-J32-K32-L32)</x:f>
        <x:v>0</x:v>
      </x:c>
      <x:c r="N32" s="98" t="n">
        <x:f>IFERROR(M32/G32,0)</x:f>
        <x:v>0</x:v>
      </x:c>
    </x:row>
    <x:row r="33">
      <x:c r="A33" s="92"/>
      <x:c r="B33" s="92"/>
      <x:c r="C33" s="93"/>
      <x:c r="D33" s="93"/>
      <x:c r="E33" s="93"/>
      <x:c r="F33" s="94" t="n">
        <x:f>SUM(C33:E33)</x:f>
        <x:v>0</x:v>
      </x:c>
      <x:c r="G33" s="95"/>
      <x:c r="H33" s="93"/>
      <x:c r="I33" s="96" t="n">
        <x:v>0.038</x:v>
      </x:c>
      <x:c r="J33" s="94" t="n">
        <x:f>IF(G33="",0,G33*I33)</x:f>
        <x:v>0</x:v>
      </x:c>
      <x:c r="K33" s="93"/>
      <x:c r="L33" s="93"/>
      <x:c r="M33" s="97" t="n">
        <x:f>IF(G33="",0,G33-F33-H33-J33-K33-L33)</x:f>
        <x:v>0</x:v>
      </x:c>
      <x:c r="N33" s="98" t="n">
        <x:f>IFERROR(M33/G33,0)</x:f>
        <x:v>0</x:v>
      </x:c>
    </x:row>
    <x:row r="34">
      <x:c r="A34" s="92"/>
      <x:c r="B34" s="92"/>
      <x:c r="C34" s="93"/>
      <x:c r="D34" s="93"/>
      <x:c r="E34" s="93"/>
      <x:c r="F34" s="94" t="n">
        <x:f>SUM(C34:E34)</x:f>
        <x:v>0</x:v>
      </x:c>
      <x:c r="G34" s="95"/>
      <x:c r="H34" s="93"/>
      <x:c r="I34" s="96" t="n">
        <x:v>0.038</x:v>
      </x:c>
      <x:c r="J34" s="94" t="n">
        <x:f>IF(G34="",0,G34*I34)</x:f>
        <x:v>0</x:v>
      </x:c>
      <x:c r="K34" s="93"/>
      <x:c r="L34" s="93"/>
      <x:c r="M34" s="97" t="n">
        <x:f>IF(G34="",0,G34-F34-H34-J34-K34-L34)</x:f>
        <x:v>0</x:v>
      </x:c>
      <x:c r="N34" s="98" t="n">
        <x:f>IFERROR(M34/G34,0)</x:f>
        <x:v>0</x:v>
      </x:c>
    </x:row>
    <x:row r="35">
      <x:c r="A35" s="92"/>
      <x:c r="B35" s="92"/>
      <x:c r="C35" s="93"/>
      <x:c r="D35" s="93"/>
      <x:c r="E35" s="93"/>
      <x:c r="F35" s="94" t="n">
        <x:f>SUM(C35:E35)</x:f>
        <x:v>0</x:v>
      </x:c>
      <x:c r="G35" s="95"/>
      <x:c r="H35" s="93"/>
      <x:c r="I35" s="96" t="n">
        <x:v>0.038</x:v>
      </x:c>
      <x:c r="J35" s="94" t="n">
        <x:f>IF(G35="",0,G35*I35)</x:f>
        <x:v>0</x:v>
      </x:c>
      <x:c r="K35" s="93"/>
      <x:c r="L35" s="93"/>
      <x:c r="M35" s="97" t="n">
        <x:f>IF(G35="",0,G35-F35-H35-J35-K35-L35)</x:f>
        <x:v>0</x:v>
      </x:c>
      <x:c r="N35" s="98" t="n">
        <x:f>IFERROR(M35/G35,0)</x:f>
        <x:v>0</x:v>
      </x:c>
    </x:row>
    <x:row r="36">
      <x:c r="A36" s="92"/>
      <x:c r="B36" s="92"/>
      <x:c r="C36" s="93"/>
      <x:c r="D36" s="93"/>
      <x:c r="E36" s="93"/>
      <x:c r="F36" s="94" t="n">
        <x:f>SUM(C36:E36)</x:f>
        <x:v>0</x:v>
      </x:c>
      <x:c r="G36" s="95"/>
      <x:c r="H36" s="93"/>
      <x:c r="I36" s="96" t="n">
        <x:v>0.038</x:v>
      </x:c>
      <x:c r="J36" s="94" t="n">
        <x:f>IF(G36="",0,G36*I36)</x:f>
        <x:v>0</x:v>
      </x:c>
      <x:c r="K36" s="93"/>
      <x:c r="L36" s="93"/>
      <x:c r="M36" s="97" t="n">
        <x:f>IF(G36="",0,G36-F36-H36-J36-K36-L36)</x:f>
        <x:v>0</x:v>
      </x:c>
      <x:c r="N36" s="98" t="n">
        <x:f>IFERROR(M36/G36,0)</x:f>
        <x:v>0</x:v>
      </x:c>
    </x:row>
    <x:row r="37">
      <x:c r="A37" s="92"/>
      <x:c r="B37" s="92"/>
      <x:c r="C37" s="93"/>
      <x:c r="D37" s="93"/>
      <x:c r="E37" s="93"/>
      <x:c r="F37" s="94" t="n">
        <x:f>SUM(C37:E37)</x:f>
        <x:v>0</x:v>
      </x:c>
      <x:c r="G37" s="95"/>
      <x:c r="H37" s="93"/>
      <x:c r="I37" s="96" t="n">
        <x:v>0.038</x:v>
      </x:c>
      <x:c r="J37" s="94" t="n">
        <x:f>IF(G37="",0,G37*I37)</x:f>
        <x:v>0</x:v>
      </x:c>
      <x:c r="K37" s="93"/>
      <x:c r="L37" s="93"/>
      <x:c r="M37" s="97" t="n">
        <x:f>IF(G37="",0,G37-F37-H37-J37-K37-L37)</x:f>
        <x:v>0</x:v>
      </x:c>
      <x:c r="N37" s="98" t="n">
        <x:f>IFERROR(M37/G37,0)</x:f>
        <x:v>0</x:v>
      </x:c>
    </x:row>
    <x:row r="38">
      <x:c r="A38" s="92"/>
      <x:c r="B38" s="92"/>
      <x:c r="C38" s="93"/>
      <x:c r="D38" s="93"/>
      <x:c r="E38" s="93"/>
      <x:c r="F38" s="94" t="n">
        <x:f>SUM(C38:E38)</x:f>
        <x:v>0</x:v>
      </x:c>
      <x:c r="G38" s="95"/>
      <x:c r="H38" s="93"/>
      <x:c r="I38" s="96" t="n">
        <x:v>0.038</x:v>
      </x:c>
      <x:c r="J38" s="94" t="n">
        <x:f>IF(G38="",0,G38*I38)</x:f>
        <x:v>0</x:v>
      </x:c>
      <x:c r="K38" s="93"/>
      <x:c r="L38" s="93"/>
      <x:c r="M38" s="97" t="n">
        <x:f>IF(G38="",0,G38-F38-H38-J38-K38-L38)</x:f>
        <x:v>0</x:v>
      </x:c>
      <x:c r="N38" s="98" t="n">
        <x:f>IFERROR(M38/G38,0)</x:f>
        <x:v>0</x:v>
      </x:c>
    </x:row>
    <x:row r="39">
      <x:c r="A39" s="92"/>
      <x:c r="B39" s="92"/>
      <x:c r="C39" s="93"/>
      <x:c r="D39" s="93"/>
      <x:c r="E39" s="93"/>
      <x:c r="F39" s="94" t="n">
        <x:f>SUM(C39:E39)</x:f>
        <x:v>0</x:v>
      </x:c>
      <x:c r="G39" s="95"/>
      <x:c r="H39" s="93"/>
      <x:c r="I39" s="96" t="n">
        <x:v>0.038</x:v>
      </x:c>
      <x:c r="J39" s="94" t="n">
        <x:f>IF(G39="",0,G39*I39)</x:f>
        <x:v>0</x:v>
      </x:c>
      <x:c r="K39" s="93"/>
      <x:c r="L39" s="93"/>
      <x:c r="M39" s="97" t="n">
        <x:f>IF(G39="",0,G39-F39-H39-J39-K39-L39)</x:f>
        <x:v>0</x:v>
      </x:c>
      <x:c r="N39" s="98" t="n">
        <x:f>IFERROR(M39/G39,0)</x:f>
        <x:v>0</x:v>
      </x:c>
    </x:row>
    <x:row r="40">
      <x:c r="A40" s="92"/>
      <x:c r="B40" s="92"/>
      <x:c r="C40" s="93"/>
      <x:c r="D40" s="93"/>
      <x:c r="E40" s="93"/>
      <x:c r="F40" s="94" t="n">
        <x:f>SUM(C40:E40)</x:f>
        <x:v>0</x:v>
      </x:c>
      <x:c r="G40" s="95"/>
      <x:c r="H40" s="93"/>
      <x:c r="I40" s="96" t="n">
        <x:v>0.038</x:v>
      </x:c>
      <x:c r="J40" s="94" t="n">
        <x:f>IF(G40="",0,G40*I40)</x:f>
        <x:v>0</x:v>
      </x:c>
      <x:c r="K40" s="93"/>
      <x:c r="L40" s="93"/>
      <x:c r="M40" s="97" t="n">
        <x:f>IF(G40="",0,G40-F40-H40-J40-K40-L40)</x:f>
        <x:v>0</x:v>
      </x:c>
      <x:c r="N40" s="98" t="n">
        <x:f>IFERROR(M40/G40,0)</x:f>
        <x:v>0</x:v>
      </x:c>
    </x:row>
    <x:row r="41">
      <x:c r="A41" s="92"/>
      <x:c r="B41" s="92"/>
      <x:c r="C41" s="93"/>
      <x:c r="D41" s="93"/>
      <x:c r="E41" s="93"/>
      <x:c r="F41" s="94" t="n">
        <x:f>SUM(C41:E41)</x:f>
        <x:v>0</x:v>
      </x:c>
      <x:c r="G41" s="95"/>
      <x:c r="H41" s="93"/>
      <x:c r="I41" s="96" t="n">
        <x:v>0.038</x:v>
      </x:c>
      <x:c r="J41" s="94" t="n">
        <x:f>IF(G41="",0,G41*I41)</x:f>
        <x:v>0</x:v>
      </x:c>
      <x:c r="K41" s="93"/>
      <x:c r="L41" s="93"/>
      <x:c r="M41" s="97" t="n">
        <x:f>IF(G41="",0,G41-F41-H41-J41-K41-L41)</x:f>
        <x:v>0</x:v>
      </x:c>
      <x:c r="N41" s="98" t="n">
        <x:f>IFERROR(M41/G41,0)</x:f>
        <x:v>0</x:v>
      </x:c>
    </x:row>
    <x:row r="42">
      <x:c r="A42" s="92"/>
      <x:c r="B42" s="92"/>
      <x:c r="C42" s="93"/>
      <x:c r="D42" s="93"/>
      <x:c r="E42" s="93"/>
      <x:c r="F42" s="94" t="n">
        <x:f>SUM(C42:E42)</x:f>
        <x:v>0</x:v>
      </x:c>
      <x:c r="G42" s="95"/>
      <x:c r="H42" s="93"/>
      <x:c r="I42" s="96" t="n">
        <x:v>0.038</x:v>
      </x:c>
      <x:c r="J42" s="94" t="n">
        <x:f>IF(G42="",0,G42*I42)</x:f>
        <x:v>0</x:v>
      </x:c>
      <x:c r="K42" s="93"/>
      <x:c r="L42" s="93"/>
      <x:c r="M42" s="97" t="n">
        <x:f>IF(G42="",0,G42-F42-H42-J42-K42-L42)</x:f>
        <x:v>0</x:v>
      </x:c>
      <x:c r="N42" s="98" t="n">
        <x:f>IFERROR(M42/G42,0)</x:f>
        <x:v>0</x:v>
      </x:c>
    </x:row>
    <x:row r="43">
      <x:c r="A43" s="92"/>
      <x:c r="B43" s="92"/>
      <x:c r="C43" s="93"/>
      <x:c r="D43" s="93"/>
      <x:c r="E43" s="93"/>
      <x:c r="F43" s="94" t="n">
        <x:f>SUM(C43:E43)</x:f>
        <x:v>0</x:v>
      </x:c>
      <x:c r="G43" s="95"/>
      <x:c r="H43" s="93"/>
      <x:c r="I43" s="96" t="n">
        <x:v>0.038</x:v>
      </x:c>
      <x:c r="J43" s="94" t="n">
        <x:f>IF(G43="",0,G43*I43)</x:f>
        <x:v>0</x:v>
      </x:c>
      <x:c r="K43" s="93"/>
      <x:c r="L43" s="93"/>
      <x:c r="M43" s="97" t="n">
        <x:f>IF(G43="",0,G43-F43-H43-J43-K43-L43)</x:f>
        <x:v>0</x:v>
      </x:c>
      <x:c r="N43" s="98" t="n">
        <x:f>IFERROR(M43/G43,0)</x:f>
        <x:v>0</x:v>
      </x:c>
    </x:row>
    <x:row r="44">
      <x:c r="A44" s="92"/>
      <x:c r="B44" s="92"/>
      <x:c r="C44" s="93"/>
      <x:c r="D44" s="93"/>
      <x:c r="E44" s="93"/>
      <x:c r="F44" s="94" t="n">
        <x:f>SUM(C44:E44)</x:f>
        <x:v>0</x:v>
      </x:c>
      <x:c r="G44" s="95"/>
      <x:c r="H44" s="93"/>
      <x:c r="I44" s="96" t="n">
        <x:v>0.038</x:v>
      </x:c>
      <x:c r="J44" s="94" t="n">
        <x:f>IF(G44="",0,G44*I44)</x:f>
        <x:v>0</x:v>
      </x:c>
      <x:c r="K44" s="93"/>
      <x:c r="L44" s="93"/>
      <x:c r="M44" s="97" t="n">
        <x:f>IF(G44="",0,G44-F44-H44-J44-K44-L44)</x:f>
        <x:v>0</x:v>
      </x:c>
      <x:c r="N44" s="98" t="n">
        <x:f>IFERROR(M44/G44,0)</x:f>
        <x:v>0</x:v>
      </x:c>
    </x:row>
    <x:row r="45">
      <x:c r="A45" s="92"/>
      <x:c r="B45" s="92"/>
      <x:c r="C45" s="93"/>
      <x:c r="D45" s="93"/>
      <x:c r="E45" s="93"/>
      <x:c r="F45" s="94" t="n">
        <x:f>SUM(C45:E45)</x:f>
        <x:v>0</x:v>
      </x:c>
      <x:c r="G45" s="95"/>
      <x:c r="H45" s="93"/>
      <x:c r="I45" s="96" t="n">
        <x:v>0.038</x:v>
      </x:c>
      <x:c r="J45" s="94" t="n">
        <x:f>IF(G45="",0,G45*I45)</x:f>
        <x:v>0</x:v>
      </x:c>
      <x:c r="K45" s="93"/>
      <x:c r="L45" s="93"/>
      <x:c r="M45" s="97" t="n">
        <x:f>IF(G45="",0,G45-F45-H45-J45-K45-L45)</x:f>
        <x:v>0</x:v>
      </x:c>
      <x:c r="N45" s="98" t="n">
        <x:f>IFERROR(M45/G45,0)</x:f>
        <x:v>0</x:v>
      </x:c>
    </x:row>
    <x:row r="46">
      <x:c r="A46" s="92"/>
      <x:c r="B46" s="92"/>
      <x:c r="C46" s="93"/>
      <x:c r="D46" s="93"/>
      <x:c r="E46" s="93"/>
      <x:c r="F46" s="94" t="n">
        <x:f>SUM(C46:E46)</x:f>
        <x:v>0</x:v>
      </x:c>
      <x:c r="G46" s="95"/>
      <x:c r="H46" s="93"/>
      <x:c r="I46" s="96" t="n">
        <x:v>0.038</x:v>
      </x:c>
      <x:c r="J46" s="94" t="n">
        <x:f>IF(G46="",0,G46*I46)</x:f>
        <x:v>0</x:v>
      </x:c>
      <x:c r="K46" s="93"/>
      <x:c r="L46" s="93"/>
      <x:c r="M46" s="97" t="n">
        <x:f>IF(G46="",0,G46-F46-H46-J46-K46-L46)</x:f>
        <x:v>0</x:v>
      </x:c>
      <x:c r="N46" s="98" t="n">
        <x:f>IFERROR(M46/G46,0)</x:f>
        <x:v>0</x:v>
      </x:c>
    </x:row>
    <x:row r="47">
      <x:c r="A47" s="92"/>
      <x:c r="B47" s="92"/>
      <x:c r="C47" s="93"/>
      <x:c r="D47" s="93"/>
      <x:c r="E47" s="93"/>
      <x:c r="F47" s="94" t="n">
        <x:f>SUM(C47:E47)</x:f>
        <x:v>0</x:v>
      </x:c>
      <x:c r="G47" s="95"/>
      <x:c r="H47" s="93"/>
      <x:c r="I47" s="96" t="n">
        <x:v>0.038</x:v>
      </x:c>
      <x:c r="J47" s="94" t="n">
        <x:f>IF(G47="",0,G47*I47)</x:f>
        <x:v>0</x:v>
      </x:c>
      <x:c r="K47" s="93"/>
      <x:c r="L47" s="93"/>
      <x:c r="M47" s="97" t="n">
        <x:f>IF(G47="",0,G47-F47-H47-J47-K47-L47)</x:f>
        <x:v>0</x:v>
      </x:c>
      <x:c r="N47" s="98" t="n">
        <x:f>IFERROR(M47/G47,0)</x:f>
        <x:v>0</x:v>
      </x:c>
    </x:row>
    <x:row r="48">
      <x:c r="A48" s="92"/>
      <x:c r="B48" s="92"/>
      <x:c r="C48" s="93"/>
      <x:c r="D48" s="93"/>
      <x:c r="E48" s="93"/>
      <x:c r="F48" s="94" t="n">
        <x:f>SUM(C48:E48)</x:f>
        <x:v>0</x:v>
      </x:c>
      <x:c r="G48" s="95"/>
      <x:c r="H48" s="93"/>
      <x:c r="I48" s="96" t="n">
        <x:v>0.038</x:v>
      </x:c>
      <x:c r="J48" s="94" t="n">
        <x:f>IF(G48="",0,G48*I48)</x:f>
        <x:v>0</x:v>
      </x:c>
      <x:c r="K48" s="93"/>
      <x:c r="L48" s="93"/>
      <x:c r="M48" s="97" t="n">
        <x:f>IF(G48="",0,G48-F48-H48-J48-K48-L48)</x:f>
        <x:v>0</x:v>
      </x:c>
      <x:c r="N48" s="98" t="n">
        <x:f>IFERROR(M48/G48,0)</x:f>
        <x:v>0</x:v>
      </x:c>
    </x:row>
    <x:row r="49">
      <x:c r="A49" s="92"/>
      <x:c r="B49" s="92"/>
      <x:c r="C49" s="93"/>
      <x:c r="D49" s="93"/>
      <x:c r="E49" s="93"/>
      <x:c r="F49" s="94" t="n">
        <x:f>SUM(C49:E49)</x:f>
        <x:v>0</x:v>
      </x:c>
      <x:c r="G49" s="95"/>
      <x:c r="H49" s="93"/>
      <x:c r="I49" s="96" t="n">
        <x:v>0.038</x:v>
      </x:c>
      <x:c r="J49" s="94" t="n">
        <x:f>IF(G49="",0,G49*I49)</x:f>
        <x:v>0</x:v>
      </x:c>
      <x:c r="K49" s="93"/>
      <x:c r="L49" s="93"/>
      <x:c r="M49" s="97" t="n">
        <x:f>IF(G49="",0,G49-F49-H49-J49-K49-L49)</x:f>
        <x:v>0</x:v>
      </x:c>
      <x:c r="N49" s="98" t="n">
        <x:f>IFERROR(M49/G49,0)</x:f>
        <x:v>0</x:v>
      </x:c>
    </x:row>
    <x:row r="50">
      <x:c r="A50" s="92"/>
      <x:c r="B50" s="92"/>
      <x:c r="C50" s="93"/>
      <x:c r="D50" s="93"/>
      <x:c r="E50" s="93"/>
      <x:c r="F50" s="94" t="n">
        <x:f>SUM(C50:E50)</x:f>
        <x:v>0</x:v>
      </x:c>
      <x:c r="G50" s="95"/>
      <x:c r="H50" s="93"/>
      <x:c r="I50" s="96" t="n">
        <x:v>0.038</x:v>
      </x:c>
      <x:c r="J50" s="94" t="n">
        <x:f>IF(G50="",0,G50*I50)</x:f>
        <x:v>0</x:v>
      </x:c>
      <x:c r="K50" s="93"/>
      <x:c r="L50" s="93"/>
      <x:c r="M50" s="97" t="n">
        <x:f>IF(G50="",0,G50-F50-H50-J50-K50-L50)</x:f>
        <x:v>0</x:v>
      </x:c>
      <x:c r="N50" s="98" t="n">
        <x:f>IFERROR(M50/G50,0)</x:f>
        <x:v>0</x:v>
      </x:c>
    </x:row>
    <x:row r="51">
      <x:c r="A51" s="92"/>
      <x:c r="B51" s="92"/>
      <x:c r="C51" s="93"/>
      <x:c r="D51" s="93"/>
      <x:c r="E51" s="93"/>
      <x:c r="F51" s="94" t="n">
        <x:f>SUM(C51:E51)</x:f>
        <x:v>0</x:v>
      </x:c>
      <x:c r="G51" s="95"/>
      <x:c r="H51" s="93"/>
      <x:c r="I51" s="96" t="n">
        <x:v>0.038</x:v>
      </x:c>
      <x:c r="J51" s="94" t="n">
        <x:f>IF(G51="",0,G51*I51)</x:f>
        <x:v>0</x:v>
      </x:c>
      <x:c r="K51" s="93"/>
      <x:c r="L51" s="93"/>
      <x:c r="M51" s="97" t="n">
        <x:f>IF(G51="",0,G51-F51-H51-J51-K51-L51)</x:f>
        <x:v>0</x:v>
      </x:c>
      <x:c r="N51" s="98" t="n">
        <x:f>IFERROR(M51/G51,0)</x:f>
        <x:v>0</x:v>
      </x:c>
    </x:row>
    <x:row r="52">
      <x:c r="A52" s="92"/>
      <x:c r="B52" s="92"/>
      <x:c r="C52" s="93"/>
      <x:c r="D52" s="93"/>
      <x:c r="E52" s="93"/>
      <x:c r="F52" s="94" t="n">
        <x:f>SUM(C52:E52)</x:f>
        <x:v>0</x:v>
      </x:c>
      <x:c r="G52" s="95"/>
      <x:c r="H52" s="93"/>
      <x:c r="I52" s="96" t="n">
        <x:v>0.038</x:v>
      </x:c>
      <x:c r="J52" s="94" t="n">
        <x:f>IF(G52="",0,G52*I52)</x:f>
        <x:v>0</x:v>
      </x:c>
      <x:c r="K52" s="93"/>
      <x:c r="L52" s="93"/>
      <x:c r="M52" s="97" t="n">
        <x:f>IF(G52="",0,G52-F52-H52-J52-K52-L52)</x:f>
        <x:v>0</x:v>
      </x:c>
      <x:c r="N52" s="98" t="n">
        <x:f>IFERROR(M52/G52,0)</x:f>
        <x:v>0</x:v>
      </x:c>
    </x:row>
    <x:row r="53">
      <x:c r="A53" s="92"/>
      <x:c r="B53" s="92"/>
      <x:c r="C53" s="93"/>
      <x:c r="D53" s="93"/>
      <x:c r="E53" s="93"/>
      <x:c r="F53" s="94" t="n">
        <x:f>SUM(C53:E53)</x:f>
        <x:v>0</x:v>
      </x:c>
      <x:c r="G53" s="95"/>
      <x:c r="H53" s="93"/>
      <x:c r="I53" s="96" t="n">
        <x:v>0.038</x:v>
      </x:c>
      <x:c r="J53" s="94" t="n">
        <x:f>IF(G53="",0,G53*I53)</x:f>
        <x:v>0</x:v>
      </x:c>
      <x:c r="K53" s="93"/>
      <x:c r="L53" s="93"/>
      <x:c r="M53" s="97" t="n">
        <x:f>IF(G53="",0,G53-F53-H53-J53-K53-L53)</x:f>
        <x:v>0</x:v>
      </x:c>
      <x:c r="N53" s="98" t="n">
        <x:f>IFERROR(M53/G53,0)</x:f>
        <x:v>0</x:v>
      </x:c>
    </x:row>
    <x:row r="54">
      <x:c r="A54" s="92"/>
      <x:c r="B54" s="92"/>
      <x:c r="C54" s="93"/>
      <x:c r="D54" s="93"/>
      <x:c r="E54" s="93"/>
      <x:c r="F54" s="94" t="n">
        <x:f>SUM(C54:E54)</x:f>
        <x:v>0</x:v>
      </x:c>
      <x:c r="G54" s="95"/>
      <x:c r="H54" s="93"/>
      <x:c r="I54" s="96" t="n">
        <x:v>0.038</x:v>
      </x:c>
      <x:c r="J54" s="94" t="n">
        <x:f>IF(G54="",0,G54*I54)</x:f>
        <x:v>0</x:v>
      </x:c>
      <x:c r="K54" s="93"/>
      <x:c r="L54" s="93"/>
      <x:c r="M54" s="97" t="n">
        <x:f>IF(G54="",0,G54-F54-H54-J54-K54-L54)</x:f>
        <x:v>0</x:v>
      </x:c>
      <x:c r="N54" s="98" t="n">
        <x:f>IFERROR(M54/G54,0)</x:f>
        <x:v>0</x:v>
      </x:c>
    </x:row>
    <x:row r="55">
      <x:c r="A55" s="92"/>
      <x:c r="B55" s="92"/>
      <x:c r="C55" s="93"/>
      <x:c r="D55" s="93"/>
      <x:c r="E55" s="93"/>
      <x:c r="F55" s="94" t="n">
        <x:f>SUM(C55:E55)</x:f>
        <x:v>0</x:v>
      </x:c>
      <x:c r="G55" s="95"/>
      <x:c r="H55" s="93"/>
      <x:c r="I55" s="96" t="n">
        <x:v>0.038</x:v>
      </x:c>
      <x:c r="J55" s="94" t="n">
        <x:f>IF(G55="",0,G55*I55)</x:f>
        <x:v>0</x:v>
      </x:c>
      <x:c r="K55" s="93"/>
      <x:c r="L55" s="93"/>
      <x:c r="M55" s="97" t="n">
        <x:f>IF(G55="",0,G55-F55-H55-J55-K55-L55)</x:f>
        <x:v>0</x:v>
      </x:c>
      <x:c r="N55" s="98" t="n">
        <x:f>IFERROR(M55/G55,0)</x:f>
        <x:v>0</x:v>
      </x:c>
    </x:row>
    <x:row r="56">
      <x:c r="A56" s="92"/>
      <x:c r="B56" s="92"/>
      <x:c r="C56" s="93"/>
      <x:c r="D56" s="93"/>
      <x:c r="E56" s="93"/>
      <x:c r="F56" s="94" t="n">
        <x:f>SUM(C56:E56)</x:f>
        <x:v>0</x:v>
      </x:c>
      <x:c r="G56" s="95"/>
      <x:c r="H56" s="93"/>
      <x:c r="I56" s="96" t="n">
        <x:v>0.038</x:v>
      </x:c>
      <x:c r="J56" s="94" t="n">
        <x:f>IF(G56="",0,G56*I56)</x:f>
        <x:v>0</x:v>
      </x:c>
      <x:c r="K56" s="93"/>
      <x:c r="L56" s="93"/>
      <x:c r="M56" s="97" t="n">
        <x:f>IF(G56="",0,G56-F56-H56-J56-K56-L56)</x:f>
        <x:v>0</x:v>
      </x:c>
      <x:c r="N56" s="98" t="n">
        <x:f>IFERROR(M56/G56,0)</x:f>
        <x:v>0</x:v>
      </x:c>
    </x:row>
    <x:row r="57">
      <x:c r="A57" s="92"/>
      <x:c r="B57" s="92"/>
      <x:c r="C57" s="93"/>
      <x:c r="D57" s="93"/>
      <x:c r="E57" s="93"/>
      <x:c r="F57" s="94" t="n">
        <x:f>SUM(C57:E57)</x:f>
        <x:v>0</x:v>
      </x:c>
      <x:c r="G57" s="95"/>
      <x:c r="H57" s="93"/>
      <x:c r="I57" s="96" t="n">
        <x:v>0.038</x:v>
      </x:c>
      <x:c r="J57" s="94" t="n">
        <x:f>IF(G57="",0,G57*I57)</x:f>
        <x:v>0</x:v>
      </x:c>
      <x:c r="K57" s="93"/>
      <x:c r="L57" s="93"/>
      <x:c r="M57" s="97" t="n">
        <x:f>IF(G57="",0,G57-F57-H57-J57-K57-L57)</x:f>
        <x:v>0</x:v>
      </x:c>
      <x:c r="N57" s="98" t="n">
        <x:f>IFERROR(M57/G57,0)</x:f>
        <x:v>0</x:v>
      </x:c>
    </x:row>
    <x:row r="58">
      <x:c r="A58" s="92"/>
      <x:c r="B58" s="92"/>
      <x:c r="C58" s="93"/>
      <x:c r="D58" s="93"/>
      <x:c r="E58" s="93"/>
      <x:c r="F58" s="94" t="n">
        <x:f>SUM(C58:E58)</x:f>
        <x:v>0</x:v>
      </x:c>
      <x:c r="G58" s="95"/>
      <x:c r="H58" s="93"/>
      <x:c r="I58" s="96" t="n">
        <x:v>0.038</x:v>
      </x:c>
      <x:c r="J58" s="94" t="n">
        <x:f>IF(G58="",0,G58*I58)</x:f>
        <x:v>0</x:v>
      </x:c>
      <x:c r="K58" s="93"/>
      <x:c r="L58" s="93"/>
      <x:c r="M58" s="97" t="n">
        <x:f>IF(G58="",0,G58-F58-H58-J58-K58-L58)</x:f>
        <x:v>0</x:v>
      </x:c>
      <x:c r="N58" s="98" t="n">
        <x:f>IFERROR(M58/G58,0)</x:f>
        <x:v>0</x:v>
      </x:c>
    </x:row>
    <x:row r="59">
      <x:c r="A59" s="92"/>
      <x:c r="B59" s="92"/>
      <x:c r="C59" s="93"/>
      <x:c r="D59" s="93"/>
      <x:c r="E59" s="93"/>
      <x:c r="F59" s="94" t="n">
        <x:f>SUM(C59:E59)</x:f>
        <x:v>0</x:v>
      </x:c>
      <x:c r="G59" s="95"/>
      <x:c r="H59" s="93"/>
      <x:c r="I59" s="96" t="n">
        <x:v>0.038</x:v>
      </x:c>
      <x:c r="J59" s="94" t="n">
        <x:f>IF(G59="",0,G59*I59)</x:f>
        <x:v>0</x:v>
      </x:c>
      <x:c r="K59" s="93"/>
      <x:c r="L59" s="93"/>
      <x:c r="M59" s="97" t="n">
        <x:f>IF(G59="",0,G59-F59-H59-J59-K59-L59)</x:f>
        <x:v>0</x:v>
      </x:c>
      <x:c r="N59" s="98" t="n">
        <x:f>IFERROR(M59/G59,0)</x:f>
        <x:v>0</x:v>
      </x:c>
    </x:row>
    <x:row r="60">
      <x:c r="A60" s="92"/>
      <x:c r="B60" s="92"/>
      <x:c r="C60" s="93"/>
      <x:c r="D60" s="93"/>
      <x:c r="E60" s="93"/>
      <x:c r="F60" s="94" t="n">
        <x:f>SUM(C60:E60)</x:f>
        <x:v>0</x:v>
      </x:c>
      <x:c r="G60" s="95"/>
      <x:c r="H60" s="93"/>
      <x:c r="I60" s="96" t="n">
        <x:v>0.038</x:v>
      </x:c>
      <x:c r="J60" s="94" t="n">
        <x:f>IF(G60="",0,G60*I60)</x:f>
        <x:v>0</x:v>
      </x:c>
      <x:c r="K60" s="93"/>
      <x:c r="L60" s="93"/>
      <x:c r="M60" s="97" t="n">
        <x:f>IF(G60="",0,G60-F60-H60-J60-K60-L60)</x:f>
        <x:v>0</x:v>
      </x:c>
      <x:c r="N60" s="98" t="n">
        <x:f>IFERROR(M60/G60,0)</x:f>
        <x:v>0</x:v>
      </x:c>
    </x:row>
    <x:row r="61">
      <x:c r="A61" s="92"/>
      <x:c r="B61" s="92"/>
      <x:c r="C61" s="93"/>
      <x:c r="D61" s="93"/>
      <x:c r="E61" s="93"/>
      <x:c r="F61" s="94" t="n">
        <x:f>SUM(C61:E61)</x:f>
        <x:v>0</x:v>
      </x:c>
      <x:c r="G61" s="95"/>
      <x:c r="H61" s="93"/>
      <x:c r="I61" s="96" t="n">
        <x:v>0.038</x:v>
      </x:c>
      <x:c r="J61" s="94" t="n">
        <x:f>IF(G61="",0,G61*I61)</x:f>
        <x:v>0</x:v>
      </x:c>
      <x:c r="K61" s="93"/>
      <x:c r="L61" s="93"/>
      <x:c r="M61" s="97" t="n">
        <x:f>IF(G61="",0,G61-F61-H61-J61-K61-L61)</x:f>
        <x:v>0</x:v>
      </x:c>
      <x:c r="N61" s="98" t="n">
        <x:f>IFERROR(M61/G61,0)</x:f>
        <x:v>0</x:v>
      </x:c>
    </x:row>
    <x:row r="62">
      <x:c r="A62" s="92"/>
      <x:c r="B62" s="92"/>
      <x:c r="C62" s="93"/>
      <x:c r="D62" s="93"/>
      <x:c r="E62" s="93"/>
      <x:c r="F62" s="94" t="n">
        <x:f>SUM(C62:E62)</x:f>
        <x:v>0</x:v>
      </x:c>
      <x:c r="G62" s="95"/>
      <x:c r="H62" s="93"/>
      <x:c r="I62" s="96" t="n">
        <x:v>0.038</x:v>
      </x:c>
      <x:c r="J62" s="94" t="n">
        <x:f>IF(G62="",0,G62*I62)</x:f>
        <x:v>0</x:v>
      </x:c>
      <x:c r="K62" s="93"/>
      <x:c r="L62" s="93"/>
      <x:c r="M62" s="97" t="n">
        <x:f>IF(G62="",0,G62-F62-H62-J62-K62-L62)</x:f>
        <x:v>0</x:v>
      </x:c>
      <x:c r="N62" s="98" t="n">
        <x:f>IFERROR(M62/G62,0)</x:f>
        <x:v>0</x:v>
      </x:c>
    </x:row>
    <x:row r="63">
      <x:c r="A63" s="92"/>
      <x:c r="B63" s="92"/>
      <x:c r="C63" s="93"/>
      <x:c r="D63" s="93"/>
      <x:c r="E63" s="93"/>
      <x:c r="F63" s="94" t="n">
        <x:f>SUM(C63:E63)</x:f>
        <x:v>0</x:v>
      </x:c>
      <x:c r="G63" s="95"/>
      <x:c r="H63" s="93"/>
      <x:c r="I63" s="96" t="n">
        <x:v>0.038</x:v>
      </x:c>
      <x:c r="J63" s="94" t="n">
        <x:f>IF(G63="",0,G63*I63)</x:f>
        <x:v>0</x:v>
      </x:c>
      <x:c r="K63" s="93"/>
      <x:c r="L63" s="93"/>
      <x:c r="M63" s="97" t="n">
        <x:f>IF(G63="",0,G63-F63-H63-J63-K63-L63)</x:f>
        <x:v>0</x:v>
      </x:c>
      <x:c r="N63" s="98" t="n">
        <x:f>IFERROR(M63/G63,0)</x:f>
        <x:v>0</x:v>
      </x:c>
    </x:row>
    <x:row r="64">
      <x:c r="A64" s="92"/>
      <x:c r="B64" s="92"/>
      <x:c r="C64" s="93"/>
      <x:c r="D64" s="93"/>
      <x:c r="E64" s="93"/>
      <x:c r="F64" s="94" t="n">
        <x:f>SUM(C64:E64)</x:f>
        <x:v>0</x:v>
      </x:c>
      <x:c r="G64" s="95"/>
      <x:c r="H64" s="93"/>
      <x:c r="I64" s="96" t="n">
        <x:v>0.038</x:v>
      </x:c>
      <x:c r="J64" s="94" t="n">
        <x:f>IF(G64="",0,G64*I64)</x:f>
        <x:v>0</x:v>
      </x:c>
      <x:c r="K64" s="93"/>
      <x:c r="L64" s="93"/>
      <x:c r="M64" s="97" t="n">
        <x:f>IF(G64="",0,G64-F64-H64-J64-K64-L64)</x:f>
        <x:v>0</x:v>
      </x:c>
      <x:c r="N64" s="98" t="n">
        <x:f>IFERROR(M64/G64,0)</x:f>
        <x:v>0</x:v>
      </x:c>
    </x:row>
    <x:row r="65">
      <x:c r="A65" s="92"/>
      <x:c r="B65" s="92"/>
      <x:c r="C65" s="93"/>
      <x:c r="D65" s="93"/>
      <x:c r="E65" s="93"/>
      <x:c r="F65" s="94" t="n">
        <x:f>SUM(C65:E65)</x:f>
        <x:v>0</x:v>
      </x:c>
      <x:c r="G65" s="95"/>
      <x:c r="H65" s="93"/>
      <x:c r="I65" s="96" t="n">
        <x:v>0.038</x:v>
      </x:c>
      <x:c r="J65" s="94" t="n">
        <x:f>IF(G65="",0,G65*I65)</x:f>
        <x:v>0</x:v>
      </x:c>
      <x:c r="K65" s="93"/>
      <x:c r="L65" s="93"/>
      <x:c r="M65" s="97" t="n">
        <x:f>IF(G65="",0,G65-F65-H65-J65-K65-L65)</x:f>
        <x:v>0</x:v>
      </x:c>
      <x:c r="N65" s="98" t="n">
        <x:f>IFERROR(M65/G65,0)</x:f>
        <x:v>0</x:v>
      </x:c>
    </x:row>
    <x:row r="66">
      <x:c r="A66" s="92"/>
      <x:c r="B66" s="92"/>
      <x:c r="C66" s="93"/>
      <x:c r="D66" s="93"/>
      <x:c r="E66" s="93"/>
      <x:c r="F66" s="94" t="n">
        <x:f>SUM(C66:E66)</x:f>
        <x:v>0</x:v>
      </x:c>
      <x:c r="G66" s="95"/>
      <x:c r="H66" s="93"/>
      <x:c r="I66" s="96" t="n">
        <x:v>0.038</x:v>
      </x:c>
      <x:c r="J66" s="94" t="n">
        <x:f>IF(G66="",0,G66*I66)</x:f>
        <x:v>0</x:v>
      </x:c>
      <x:c r="K66" s="93"/>
      <x:c r="L66" s="93"/>
      <x:c r="M66" s="97" t="n">
        <x:f>IF(G66="",0,G66-F66-H66-J66-K66-L66)</x:f>
        <x:v>0</x:v>
      </x:c>
      <x:c r="N66" s="98" t="n">
        <x:f>IFERROR(M66/G66,0)</x:f>
        <x:v>0</x:v>
      </x:c>
    </x:row>
    <x:row r="67">
      <x:c r="A67" s="92"/>
      <x:c r="B67" s="92"/>
      <x:c r="C67" s="93"/>
      <x:c r="D67" s="93"/>
      <x:c r="E67" s="93"/>
      <x:c r="F67" s="94" t="n">
        <x:f>SUM(C67:E67)</x:f>
        <x:v>0</x:v>
      </x:c>
      <x:c r="G67" s="95"/>
      <x:c r="H67" s="93"/>
      <x:c r="I67" s="96" t="n">
        <x:v>0.038</x:v>
      </x:c>
      <x:c r="J67" s="94" t="n">
        <x:f>IF(G67="",0,G67*I67)</x:f>
        <x:v>0</x:v>
      </x:c>
      <x:c r="K67" s="93"/>
      <x:c r="L67" s="93"/>
      <x:c r="M67" s="97" t="n">
        <x:f>IF(G67="",0,G67-F67-H67-J67-K67-L67)</x:f>
        <x:v>0</x:v>
      </x:c>
      <x:c r="N67" s="98" t="n">
        <x:f>IFERROR(M67/G67,0)</x:f>
        <x:v>0</x:v>
      </x:c>
    </x:row>
    <x:row r="68">
      <x:c r="A68" s="92"/>
      <x:c r="B68" s="92"/>
      <x:c r="C68" s="93"/>
      <x:c r="D68" s="93"/>
      <x:c r="E68" s="93"/>
      <x:c r="F68" s="94" t="n">
        <x:f>SUM(C68:E68)</x:f>
        <x:v>0</x:v>
      </x:c>
      <x:c r="G68" s="95"/>
      <x:c r="H68" s="93"/>
      <x:c r="I68" s="96" t="n">
        <x:v>0.038</x:v>
      </x:c>
      <x:c r="J68" s="94" t="n">
        <x:f>IF(G68="",0,G68*I68)</x:f>
        <x:v>0</x:v>
      </x:c>
      <x:c r="K68" s="93"/>
      <x:c r="L68" s="93"/>
      <x:c r="M68" s="97" t="n">
        <x:f>IF(G68="",0,G68-F68-H68-J68-K68-L68)</x:f>
        <x:v>0</x:v>
      </x:c>
      <x:c r="N68" s="98" t="n">
        <x:f>IFERROR(M68/G68,0)</x:f>
        <x:v>0</x:v>
      </x:c>
    </x:row>
    <x:row r="69">
      <x:c r="A69" s="92"/>
      <x:c r="B69" s="92"/>
      <x:c r="C69" s="93"/>
      <x:c r="D69" s="93"/>
      <x:c r="E69" s="93"/>
      <x:c r="F69" s="94" t="n">
        <x:f>SUM(C69:E69)</x:f>
        <x:v>0</x:v>
      </x:c>
      <x:c r="G69" s="95"/>
      <x:c r="H69" s="93"/>
      <x:c r="I69" s="96" t="n">
        <x:v>0.038</x:v>
      </x:c>
      <x:c r="J69" s="94" t="n">
        <x:f>IF(G69="",0,G69*I69)</x:f>
        <x:v>0</x:v>
      </x:c>
      <x:c r="K69" s="93"/>
      <x:c r="L69" s="93"/>
      <x:c r="M69" s="97" t="n">
        <x:f>IF(G69="",0,G69-F69-H69-J69-K69-L69)</x:f>
        <x:v>0</x:v>
      </x:c>
      <x:c r="N69" s="98" t="n">
        <x:f>IFERROR(M69/G69,0)</x:f>
        <x:v>0</x:v>
      </x:c>
    </x:row>
    <x:row r="70">
      <x:c r="A70" s="92"/>
      <x:c r="B70" s="92"/>
      <x:c r="C70" s="93"/>
      <x:c r="D70" s="93"/>
      <x:c r="E70" s="93"/>
      <x:c r="F70" s="94" t="n">
        <x:f>SUM(C70:E70)</x:f>
        <x:v>0</x:v>
      </x:c>
      <x:c r="G70" s="95"/>
      <x:c r="H70" s="93"/>
      <x:c r="I70" s="96" t="n">
        <x:v>0.038</x:v>
      </x:c>
      <x:c r="J70" s="94" t="n">
        <x:f>IF(G70="",0,G70*I70)</x:f>
        <x:v>0</x:v>
      </x:c>
      <x:c r="K70" s="93"/>
      <x:c r="L70" s="93"/>
      <x:c r="M70" s="97" t="n">
        <x:f>IF(G70="",0,G70-F70-H70-J70-K70-L70)</x:f>
        <x:v>0</x:v>
      </x:c>
      <x:c r="N70" s="98" t="n">
        <x:f>IFERROR(M70/G70,0)</x:f>
        <x:v>0</x:v>
      </x:c>
    </x:row>
    <x:row r="71">
      <x:c r="A71" s="92"/>
      <x:c r="B71" s="92"/>
      <x:c r="C71" s="93"/>
      <x:c r="D71" s="93"/>
      <x:c r="E71" s="93"/>
      <x:c r="F71" s="94" t="n">
        <x:f>SUM(C71:E71)</x:f>
        <x:v>0</x:v>
      </x:c>
      <x:c r="G71" s="95"/>
      <x:c r="H71" s="93"/>
      <x:c r="I71" s="96" t="n">
        <x:v>0.038</x:v>
      </x:c>
      <x:c r="J71" s="94" t="n">
        <x:f>IF(G71="",0,G71*I71)</x:f>
        <x:v>0</x:v>
      </x:c>
      <x:c r="K71" s="93"/>
      <x:c r="L71" s="93"/>
      <x:c r="M71" s="97" t="n">
        <x:f>IF(G71="",0,G71-F71-H71-J71-K71-L71)</x:f>
        <x:v>0</x:v>
      </x:c>
      <x:c r="N71" s="98" t="n">
        <x:f>IFERROR(M71/G71,0)</x:f>
        <x:v>0</x:v>
      </x:c>
    </x:row>
    <x:row r="72">
      <x:c r="A72" s="92"/>
      <x:c r="B72" s="92"/>
      <x:c r="C72" s="93"/>
      <x:c r="D72" s="93"/>
      <x:c r="E72" s="93"/>
      <x:c r="F72" s="94" t="n">
        <x:f>SUM(C72:E72)</x:f>
        <x:v>0</x:v>
      </x:c>
      <x:c r="G72" s="95"/>
      <x:c r="H72" s="93"/>
      <x:c r="I72" s="96" t="n">
        <x:v>0.038</x:v>
      </x:c>
      <x:c r="J72" s="94" t="n">
        <x:f>IF(G72="",0,G72*I72)</x:f>
        <x:v>0</x:v>
      </x:c>
      <x:c r="K72" s="93"/>
      <x:c r="L72" s="93"/>
      <x:c r="M72" s="97" t="n">
        <x:f>IF(G72="",0,G72-F72-H72-J72-K72-L72)</x:f>
        <x:v>0</x:v>
      </x:c>
      <x:c r="N72" s="98" t="n">
        <x:f>IFERROR(M72/G72,0)</x:f>
        <x:v>0</x:v>
      </x:c>
    </x:row>
    <x:row r="73">
      <x:c r="A73" s="92"/>
      <x:c r="B73" s="92"/>
      <x:c r="C73" s="93"/>
      <x:c r="D73" s="93"/>
      <x:c r="E73" s="93"/>
      <x:c r="F73" s="94" t="n">
        <x:f>SUM(C73:E73)</x:f>
        <x:v>0</x:v>
      </x:c>
      <x:c r="G73" s="95"/>
      <x:c r="H73" s="93"/>
      <x:c r="I73" s="96" t="n">
        <x:v>0.038</x:v>
      </x:c>
      <x:c r="J73" s="94" t="n">
        <x:f>IF(G73="",0,G73*I73)</x:f>
        <x:v>0</x:v>
      </x:c>
      <x:c r="K73" s="93"/>
      <x:c r="L73" s="93"/>
      <x:c r="M73" s="97" t="n">
        <x:f>IF(G73="",0,G73-F73-H73-J73-K73-L73)</x:f>
        <x:v>0</x:v>
      </x:c>
      <x:c r="N73" s="98" t="n">
        <x:f>IFERROR(M73/G73,0)</x:f>
        <x:v>0</x:v>
      </x:c>
    </x:row>
    <x:row r="74">
      <x:c r="A74" s="92"/>
      <x:c r="B74" s="92"/>
      <x:c r="C74" s="93"/>
      <x:c r="D74" s="93"/>
      <x:c r="E74" s="93"/>
      <x:c r="F74" s="94" t="n">
        <x:f>SUM(C74:E74)</x:f>
        <x:v>0</x:v>
      </x:c>
      <x:c r="G74" s="95"/>
      <x:c r="H74" s="93"/>
      <x:c r="I74" s="96" t="n">
        <x:v>0.038</x:v>
      </x:c>
      <x:c r="J74" s="94" t="n">
        <x:f>IF(G74="",0,G74*I74)</x:f>
        <x:v>0</x:v>
      </x:c>
      <x:c r="K74" s="93"/>
      <x:c r="L74" s="93"/>
      <x:c r="M74" s="97" t="n">
        <x:f>IF(G74="",0,G74-F74-H74-J74-K74-L74)</x:f>
        <x:v>0</x:v>
      </x:c>
      <x:c r="N74" s="98" t="n">
        <x:f>IFERROR(M74/G74,0)</x:f>
        <x:v>0</x:v>
      </x:c>
    </x:row>
    <x:row r="75">
      <x:c r="A75" s="92"/>
      <x:c r="B75" s="92"/>
      <x:c r="C75" s="93"/>
      <x:c r="D75" s="93"/>
      <x:c r="E75" s="93"/>
      <x:c r="F75" s="94" t="n">
        <x:f>SUM(C75:E75)</x:f>
        <x:v>0</x:v>
      </x:c>
      <x:c r="G75" s="95"/>
      <x:c r="H75" s="93"/>
      <x:c r="I75" s="96" t="n">
        <x:v>0.038</x:v>
      </x:c>
      <x:c r="J75" s="94" t="n">
        <x:f>IF(G75="",0,G75*I75)</x:f>
        <x:v>0</x:v>
      </x:c>
      <x:c r="K75" s="93"/>
      <x:c r="L75" s="93"/>
      <x:c r="M75" s="97" t="n">
        <x:f>IF(G75="",0,G75-F75-H75-J75-K75-L75)</x:f>
        <x:v>0</x:v>
      </x:c>
      <x:c r="N75" s="98" t="n">
        <x:f>IFERROR(M75/G75,0)</x:f>
        <x:v>0</x:v>
      </x:c>
    </x:row>
    <x:row r="76">
      <x:c r="A76" s="92"/>
      <x:c r="B76" s="92"/>
      <x:c r="C76" s="93"/>
      <x:c r="D76" s="93"/>
      <x:c r="E76" s="93"/>
      <x:c r="F76" s="94" t="n">
        <x:f>SUM(C76:E76)</x:f>
        <x:v>0</x:v>
      </x:c>
      <x:c r="G76" s="95"/>
      <x:c r="H76" s="93"/>
      <x:c r="I76" s="96" t="n">
        <x:v>0.038</x:v>
      </x:c>
      <x:c r="J76" s="94" t="n">
        <x:f>IF(G76="",0,G76*I76)</x:f>
        <x:v>0</x:v>
      </x:c>
      <x:c r="K76" s="93"/>
      <x:c r="L76" s="93"/>
      <x:c r="M76" s="97" t="n">
        <x:f>IF(G76="",0,G76-F76-H76-J76-K76-L76)</x:f>
        <x:v>0</x:v>
      </x:c>
      <x:c r="N76" s="98" t="n">
        <x:f>IFERROR(M76/G76,0)</x:f>
        <x:v>0</x:v>
      </x:c>
    </x:row>
    <x:row r="77">
      <x:c r="A77" s="92"/>
      <x:c r="B77" s="92"/>
      <x:c r="C77" s="93"/>
      <x:c r="D77" s="93"/>
      <x:c r="E77" s="93"/>
      <x:c r="F77" s="94" t="n">
        <x:f>SUM(C77:E77)</x:f>
        <x:v>0</x:v>
      </x:c>
      <x:c r="G77" s="95"/>
      <x:c r="H77" s="93"/>
      <x:c r="I77" s="96" t="n">
        <x:v>0.038</x:v>
      </x:c>
      <x:c r="J77" s="94" t="n">
        <x:f>IF(G77="",0,G77*I77)</x:f>
        <x:v>0</x:v>
      </x:c>
      <x:c r="K77" s="93"/>
      <x:c r="L77" s="93"/>
      <x:c r="M77" s="97" t="n">
        <x:f>IF(G77="",0,G77-F77-H77-J77-K77-L77)</x:f>
        <x:v>0</x:v>
      </x:c>
      <x:c r="N77" s="98" t="n">
        <x:f>IFERROR(M77/G77,0)</x:f>
        <x:v>0</x:v>
      </x:c>
    </x:row>
    <x:row r="78">
      <x:c r="A78" s="92"/>
      <x:c r="B78" s="92"/>
      <x:c r="C78" s="93"/>
      <x:c r="D78" s="93"/>
      <x:c r="E78" s="93"/>
      <x:c r="F78" s="94" t="n">
        <x:f>SUM(C78:E78)</x:f>
        <x:v>0</x:v>
      </x:c>
      <x:c r="G78" s="95"/>
      <x:c r="H78" s="93"/>
      <x:c r="I78" s="96" t="n">
        <x:v>0.038</x:v>
      </x:c>
      <x:c r="J78" s="94" t="n">
        <x:f>IF(G78="",0,G78*I78)</x:f>
        <x:v>0</x:v>
      </x:c>
      <x:c r="K78" s="93"/>
      <x:c r="L78" s="93"/>
      <x:c r="M78" s="97" t="n">
        <x:f>IF(G78="",0,G78-F78-H78-J78-K78-L78)</x:f>
        <x:v>0</x:v>
      </x:c>
      <x:c r="N78" s="98" t="n">
        <x:f>IFERROR(M78/G78,0)</x:f>
        <x:v>0</x:v>
      </x:c>
    </x:row>
    <x:row r="79">
      <x:c r="A79" s="92"/>
      <x:c r="B79" s="92"/>
      <x:c r="C79" s="93"/>
      <x:c r="D79" s="93"/>
      <x:c r="E79" s="93"/>
      <x:c r="F79" s="94" t="n">
        <x:f>SUM(C79:E79)</x:f>
        <x:v>0</x:v>
      </x:c>
      <x:c r="G79" s="95"/>
      <x:c r="H79" s="93"/>
      <x:c r="I79" s="96" t="n">
        <x:v>0.038</x:v>
      </x:c>
      <x:c r="J79" s="94" t="n">
        <x:f>IF(G79="",0,G79*I79)</x:f>
        <x:v>0</x:v>
      </x:c>
      <x:c r="K79" s="93"/>
      <x:c r="L79" s="93"/>
      <x:c r="M79" s="97" t="n">
        <x:f>IF(G79="",0,G79-F79-H79-J79-K79-L79)</x:f>
        <x:v>0</x:v>
      </x:c>
      <x:c r="N79" s="98" t="n">
        <x:f>IFERROR(M79/G79,0)</x:f>
        <x:v>0</x:v>
      </x:c>
    </x:row>
    <x:row r="80">
      <x:c r="A80" s="92"/>
      <x:c r="B80" s="92"/>
      <x:c r="C80" s="93"/>
      <x:c r="D80" s="93"/>
      <x:c r="E80" s="93"/>
      <x:c r="F80" s="94" t="n">
        <x:f>SUM(C80:E80)</x:f>
        <x:v>0</x:v>
      </x:c>
      <x:c r="G80" s="95"/>
      <x:c r="H80" s="93"/>
      <x:c r="I80" s="96" t="n">
        <x:v>0.038</x:v>
      </x:c>
      <x:c r="J80" s="94" t="n">
        <x:f>IF(G80="",0,G80*I80)</x:f>
        <x:v>0</x:v>
      </x:c>
      <x:c r="K80" s="93"/>
      <x:c r="L80" s="93"/>
      <x:c r="M80" s="97" t="n">
        <x:f>IF(G80="",0,G80-F80-H80-J80-K80-L80)</x:f>
        <x:v>0</x:v>
      </x:c>
      <x:c r="N80" s="98" t="n">
        <x:f>IFERROR(M80/G80,0)</x:f>
        <x:v>0</x:v>
      </x:c>
    </x:row>
    <x:row r="81">
      <x:c r="A81" s="92"/>
      <x:c r="B81" s="92"/>
      <x:c r="C81" s="93"/>
      <x:c r="D81" s="93"/>
      <x:c r="E81" s="93"/>
      <x:c r="F81" s="94" t="n">
        <x:f>SUM(C81:E81)</x:f>
        <x:v>0</x:v>
      </x:c>
      <x:c r="G81" s="95"/>
      <x:c r="H81" s="93"/>
      <x:c r="I81" s="96" t="n">
        <x:v>0.038</x:v>
      </x:c>
      <x:c r="J81" s="94" t="n">
        <x:f>IF(G81="",0,G81*I81)</x:f>
        <x:v>0</x:v>
      </x:c>
      <x:c r="K81" s="93"/>
      <x:c r="L81" s="93"/>
      <x:c r="M81" s="97" t="n">
        <x:f>IF(G81="",0,G81-F81-H81-J81-K81-L81)</x:f>
        <x:v>0</x:v>
      </x:c>
      <x:c r="N81" s="98" t="n">
        <x:f>IFERROR(M81/G81,0)</x:f>
        <x:v>0</x:v>
      </x:c>
    </x:row>
    <x:row r="82">
      <x:c r="A82" s="92"/>
      <x:c r="B82" s="92"/>
      <x:c r="C82" s="93"/>
      <x:c r="D82" s="93"/>
      <x:c r="E82" s="93"/>
      <x:c r="F82" s="94" t="n">
        <x:f>SUM(C82:E82)</x:f>
        <x:v>0</x:v>
      </x:c>
      <x:c r="G82" s="95"/>
      <x:c r="H82" s="93"/>
      <x:c r="I82" s="96" t="n">
        <x:v>0.038</x:v>
      </x:c>
      <x:c r="J82" s="94" t="n">
        <x:f>IF(G82="",0,G82*I82)</x:f>
        <x:v>0</x:v>
      </x:c>
      <x:c r="K82" s="93"/>
      <x:c r="L82" s="93"/>
      <x:c r="M82" s="97" t="n">
        <x:f>IF(G82="",0,G82-F82-H82-J82-K82-L82)</x:f>
        <x:v>0</x:v>
      </x:c>
      <x:c r="N82" s="98" t="n">
        <x:f>IFERROR(M82/G82,0)</x:f>
        <x:v>0</x:v>
      </x:c>
    </x:row>
    <x:row r="83">
      <x:c r="A83" s="92"/>
      <x:c r="B83" s="92"/>
      <x:c r="C83" s="93"/>
      <x:c r="D83" s="93"/>
      <x:c r="E83" s="93"/>
      <x:c r="F83" s="94" t="n">
        <x:f>SUM(C83:E83)</x:f>
        <x:v>0</x:v>
      </x:c>
      <x:c r="G83" s="95"/>
      <x:c r="H83" s="93"/>
      <x:c r="I83" s="96" t="n">
        <x:v>0.038</x:v>
      </x:c>
      <x:c r="J83" s="94" t="n">
        <x:f>IF(G83="",0,G83*I83)</x:f>
        <x:v>0</x:v>
      </x:c>
      <x:c r="K83" s="93"/>
      <x:c r="L83" s="93"/>
      <x:c r="M83" s="97" t="n">
        <x:f>IF(G83="",0,G83-F83-H83-J83-K83-L83)</x:f>
        <x:v>0</x:v>
      </x:c>
      <x:c r="N83" s="98" t="n">
        <x:f>IFERROR(M83/G83,0)</x:f>
        <x:v>0</x:v>
      </x:c>
    </x:row>
    <x:row r="84">
      <x:c r="A84" s="92"/>
      <x:c r="B84" s="92"/>
      <x:c r="C84" s="93"/>
      <x:c r="D84" s="93"/>
      <x:c r="E84" s="93"/>
      <x:c r="F84" s="94" t="n">
        <x:f>SUM(C84:E84)</x:f>
        <x:v>0</x:v>
      </x:c>
      <x:c r="G84" s="95"/>
      <x:c r="H84" s="93"/>
      <x:c r="I84" s="96" t="n">
        <x:v>0.038</x:v>
      </x:c>
      <x:c r="J84" s="94" t="n">
        <x:f>IF(G84="",0,G84*I84)</x:f>
        <x:v>0</x:v>
      </x:c>
      <x:c r="K84" s="93"/>
      <x:c r="L84" s="93"/>
      <x:c r="M84" s="97" t="n">
        <x:f>IF(G84="",0,G84-F84-H84-J84-K84-L84)</x:f>
        <x:v>0</x:v>
      </x:c>
      <x:c r="N84" s="98" t="n">
        <x:f>IFERROR(M84/G84,0)</x:f>
        <x:v>0</x:v>
      </x:c>
    </x:row>
    <x:row r="85">
      <x:c r="A85" s="92"/>
      <x:c r="B85" s="92"/>
      <x:c r="C85" s="93"/>
      <x:c r="D85" s="93"/>
      <x:c r="E85" s="93"/>
      <x:c r="F85" s="94" t="n">
        <x:f>SUM(C85:E85)</x:f>
        <x:v>0</x:v>
      </x:c>
      <x:c r="G85" s="95"/>
      <x:c r="H85" s="93"/>
      <x:c r="I85" s="96" t="n">
        <x:v>0.038</x:v>
      </x:c>
      <x:c r="J85" s="94" t="n">
        <x:f>IF(G85="",0,G85*I85)</x:f>
        <x:v>0</x:v>
      </x:c>
      <x:c r="K85" s="93"/>
      <x:c r="L85" s="93"/>
      <x:c r="M85" s="97" t="n">
        <x:f>IF(G85="",0,G85-F85-H85-J85-K85-L85)</x:f>
        <x:v>0</x:v>
      </x:c>
      <x:c r="N85" s="98" t="n">
        <x:f>IFERROR(M85/G85,0)</x:f>
        <x:v>0</x:v>
      </x:c>
    </x:row>
    <x:row r="86">
      <x:c r="A86" s="92"/>
      <x:c r="B86" s="92"/>
      <x:c r="C86" s="93"/>
      <x:c r="D86" s="93"/>
      <x:c r="E86" s="93"/>
      <x:c r="F86" s="94" t="n">
        <x:f>SUM(C86:E86)</x:f>
        <x:v>0</x:v>
      </x:c>
      <x:c r="G86" s="95"/>
      <x:c r="H86" s="93"/>
      <x:c r="I86" s="96" t="n">
        <x:v>0.038</x:v>
      </x:c>
      <x:c r="J86" s="94" t="n">
        <x:f>IF(G86="",0,G86*I86)</x:f>
        <x:v>0</x:v>
      </x:c>
      <x:c r="K86" s="93"/>
      <x:c r="L86" s="93"/>
      <x:c r="M86" s="97" t="n">
        <x:f>IF(G86="",0,G86-F86-H86-J86-K86-L86)</x:f>
        <x:v>0</x:v>
      </x:c>
      <x:c r="N86" s="98" t="n">
        <x:f>IFERROR(M86/G86,0)</x:f>
        <x:v>0</x:v>
      </x:c>
    </x:row>
    <x:row r="87">
      <x:c r="A87" s="92"/>
      <x:c r="B87" s="92"/>
      <x:c r="C87" s="93"/>
      <x:c r="D87" s="93"/>
      <x:c r="E87" s="93"/>
      <x:c r="F87" s="94" t="n">
        <x:f>SUM(C87:E87)</x:f>
        <x:v>0</x:v>
      </x:c>
      <x:c r="G87" s="95"/>
      <x:c r="H87" s="93"/>
      <x:c r="I87" s="96" t="n">
        <x:v>0.038</x:v>
      </x:c>
      <x:c r="J87" s="94" t="n">
        <x:f>IF(G87="",0,G87*I87)</x:f>
        <x:v>0</x:v>
      </x:c>
      <x:c r="K87" s="93"/>
      <x:c r="L87" s="93"/>
      <x:c r="M87" s="97" t="n">
        <x:f>IF(G87="",0,G87-F87-H87-J87-K87-L87)</x:f>
        <x:v>0</x:v>
      </x:c>
      <x:c r="N87" s="98" t="n">
        <x:f>IFERROR(M87/G87,0)</x:f>
        <x:v>0</x:v>
      </x:c>
    </x:row>
    <x:row r="88">
      <x:c r="A88" s="92"/>
      <x:c r="B88" s="92"/>
      <x:c r="C88" s="93"/>
      <x:c r="D88" s="93"/>
      <x:c r="E88" s="93"/>
      <x:c r="F88" s="94" t="n">
        <x:f>SUM(C88:E88)</x:f>
        <x:v>0</x:v>
      </x:c>
      <x:c r="G88" s="95"/>
      <x:c r="H88" s="93"/>
      <x:c r="I88" s="96" t="n">
        <x:v>0.038</x:v>
      </x:c>
      <x:c r="J88" s="94" t="n">
        <x:f>IF(G88="",0,G88*I88)</x:f>
        <x:v>0</x:v>
      </x:c>
      <x:c r="K88" s="93"/>
      <x:c r="L88" s="93"/>
      <x:c r="M88" s="97" t="n">
        <x:f>IF(G88="",0,G88-F88-H88-J88-K88-L88)</x:f>
        <x:v>0</x:v>
      </x:c>
      <x:c r="N88" s="98" t="n">
        <x:f>IFERROR(M88/G88,0)</x:f>
        <x:v>0</x:v>
      </x:c>
    </x:row>
    <x:row r="89">
      <x:c r="A89" s="92"/>
      <x:c r="B89" s="92"/>
      <x:c r="C89" s="93"/>
      <x:c r="D89" s="93"/>
      <x:c r="E89" s="93"/>
      <x:c r="F89" s="94" t="n">
        <x:f>SUM(C89:E89)</x:f>
        <x:v>0</x:v>
      </x:c>
      <x:c r="G89" s="95"/>
      <x:c r="H89" s="93"/>
      <x:c r="I89" s="96" t="n">
        <x:v>0.038</x:v>
      </x:c>
      <x:c r="J89" s="94" t="n">
        <x:f>IF(G89="",0,G89*I89)</x:f>
        <x:v>0</x:v>
      </x:c>
      <x:c r="K89" s="93"/>
      <x:c r="L89" s="93"/>
      <x:c r="M89" s="97" t="n">
        <x:f>IF(G89="",0,G89-F89-H89-J89-K89-L89)</x:f>
        <x:v>0</x:v>
      </x:c>
      <x:c r="N89" s="98" t="n">
        <x:f>IFERROR(M89/G89,0)</x:f>
        <x:v>0</x:v>
      </x:c>
    </x:row>
    <x:row r="90">
      <x:c r="A90" s="92"/>
      <x:c r="B90" s="92"/>
      <x:c r="C90" s="93"/>
      <x:c r="D90" s="93"/>
      <x:c r="E90" s="93"/>
      <x:c r="F90" s="94" t="n">
        <x:f>SUM(C90:E90)</x:f>
        <x:v>0</x:v>
      </x:c>
      <x:c r="G90" s="95"/>
      <x:c r="H90" s="93"/>
      <x:c r="I90" s="96" t="n">
        <x:v>0.038</x:v>
      </x:c>
      <x:c r="J90" s="94" t="n">
        <x:f>IF(G90="",0,G90*I90)</x:f>
        <x:v>0</x:v>
      </x:c>
      <x:c r="K90" s="93"/>
      <x:c r="L90" s="93"/>
      <x:c r="M90" s="97" t="n">
        <x:f>IF(G90="",0,G90-F90-H90-J90-K90-L90)</x:f>
        <x:v>0</x:v>
      </x:c>
      <x:c r="N90" s="98" t="n">
        <x:f>IFERROR(M90/G90,0)</x:f>
        <x:v>0</x:v>
      </x:c>
    </x:row>
    <x:row r="91">
      <x:c r="A91" s="92"/>
      <x:c r="B91" s="92"/>
      <x:c r="C91" s="93"/>
      <x:c r="D91" s="93"/>
      <x:c r="E91" s="93"/>
      <x:c r="F91" s="94" t="n">
        <x:f>SUM(C91:E91)</x:f>
        <x:v>0</x:v>
      </x:c>
      <x:c r="G91" s="95"/>
      <x:c r="H91" s="93"/>
      <x:c r="I91" s="96" t="n">
        <x:v>0.038</x:v>
      </x:c>
      <x:c r="J91" s="94" t="n">
        <x:f>IF(G91="",0,G91*I91)</x:f>
        <x:v>0</x:v>
      </x:c>
      <x:c r="K91" s="93"/>
      <x:c r="L91" s="93"/>
      <x:c r="M91" s="97" t="n">
        <x:f>IF(G91="",0,G91-F91-H91-J91-K91-L91)</x:f>
        <x:v>0</x:v>
      </x:c>
      <x:c r="N91" s="98" t="n">
        <x:f>IFERROR(M91/G91,0)</x:f>
        <x:v>0</x:v>
      </x:c>
    </x:row>
    <x:row r="92">
      <x:c r="A92" s="92"/>
      <x:c r="B92" s="92"/>
      <x:c r="C92" s="93"/>
      <x:c r="D92" s="93"/>
      <x:c r="E92" s="93"/>
      <x:c r="F92" s="94" t="n">
        <x:f>SUM(C92:E92)</x:f>
        <x:v>0</x:v>
      </x:c>
      <x:c r="G92" s="95"/>
      <x:c r="H92" s="93"/>
      <x:c r="I92" s="96" t="n">
        <x:v>0.038</x:v>
      </x:c>
      <x:c r="J92" s="94" t="n">
        <x:f>IF(G92="",0,G92*I92)</x:f>
        <x:v>0</x:v>
      </x:c>
      <x:c r="K92" s="93"/>
      <x:c r="L92" s="93"/>
      <x:c r="M92" s="97" t="n">
        <x:f>IF(G92="",0,G92-F92-H92-J92-K92-L92)</x:f>
        <x:v>0</x:v>
      </x:c>
      <x:c r="N92" s="98" t="n">
        <x:f>IFERROR(M92/G92,0)</x:f>
        <x:v>0</x:v>
      </x:c>
    </x:row>
    <x:row r="93">
      <x:c r="A93" s="92"/>
      <x:c r="B93" s="92"/>
      <x:c r="C93" s="93"/>
      <x:c r="D93" s="93"/>
      <x:c r="E93" s="93"/>
      <x:c r="F93" s="94" t="n">
        <x:f>SUM(C93:E93)</x:f>
        <x:v>0</x:v>
      </x:c>
      <x:c r="G93" s="95"/>
      <x:c r="H93" s="93"/>
      <x:c r="I93" s="96" t="n">
        <x:v>0.038</x:v>
      </x:c>
      <x:c r="J93" s="94" t="n">
        <x:f>IF(G93="",0,G93*I93)</x:f>
        <x:v>0</x:v>
      </x:c>
      <x:c r="K93" s="93"/>
      <x:c r="L93" s="93"/>
      <x:c r="M93" s="97" t="n">
        <x:f>IF(G93="",0,G93-F93-H93-J93-K93-L93)</x:f>
        <x:v>0</x:v>
      </x:c>
      <x:c r="N93" s="98" t="n">
        <x:f>IFERROR(M93/G93,0)</x:f>
        <x:v>0</x:v>
      </x:c>
    </x:row>
    <x:row r="94">
      <x:c r="A94" s="92"/>
      <x:c r="B94" s="92"/>
      <x:c r="C94" s="93"/>
      <x:c r="D94" s="93"/>
      <x:c r="E94" s="93"/>
      <x:c r="F94" s="94" t="n">
        <x:f>SUM(C94:E94)</x:f>
        <x:v>0</x:v>
      </x:c>
      <x:c r="G94" s="95"/>
      <x:c r="H94" s="93"/>
      <x:c r="I94" s="96" t="n">
        <x:v>0.038</x:v>
      </x:c>
      <x:c r="J94" s="94" t="n">
        <x:f>IF(G94="",0,G94*I94)</x:f>
        <x:v>0</x:v>
      </x:c>
      <x:c r="K94" s="93"/>
      <x:c r="L94" s="93"/>
      <x:c r="M94" s="97" t="n">
        <x:f>IF(G94="",0,G94-F94-H94-J94-K94-L94)</x:f>
        <x:v>0</x:v>
      </x:c>
      <x:c r="N94" s="98" t="n">
        <x:f>IFERROR(M94/G94,0)</x:f>
        <x:v>0</x:v>
      </x:c>
    </x:row>
    <x:row r="95">
      <x:c r="A95" s="92"/>
      <x:c r="B95" s="92"/>
      <x:c r="C95" s="93"/>
      <x:c r="D95" s="93"/>
      <x:c r="E95" s="93"/>
      <x:c r="F95" s="94" t="n">
        <x:f>SUM(C95:E95)</x:f>
        <x:v>0</x:v>
      </x:c>
      <x:c r="G95" s="95"/>
      <x:c r="H95" s="93"/>
      <x:c r="I95" s="96" t="n">
        <x:v>0.038</x:v>
      </x:c>
      <x:c r="J95" s="94" t="n">
        <x:f>IF(G95="",0,G95*I95)</x:f>
        <x:v>0</x:v>
      </x:c>
      <x:c r="K95" s="93"/>
      <x:c r="L95" s="93"/>
      <x:c r="M95" s="97" t="n">
        <x:f>IF(G95="",0,G95-F95-H95-J95-K95-L95)</x:f>
        <x:v>0</x:v>
      </x:c>
      <x:c r="N95" s="98" t="n">
        <x:f>IFERROR(M95/G95,0)</x:f>
        <x:v>0</x:v>
      </x:c>
    </x:row>
    <x:row r="96">
      <x:c r="A96" s="92"/>
      <x:c r="B96" s="92"/>
      <x:c r="C96" s="93"/>
      <x:c r="D96" s="93"/>
      <x:c r="E96" s="93"/>
      <x:c r="F96" s="94" t="n">
        <x:f>SUM(C96:E96)</x:f>
        <x:v>0</x:v>
      </x:c>
      <x:c r="G96" s="95"/>
      <x:c r="H96" s="93"/>
      <x:c r="I96" s="96" t="n">
        <x:v>0.038</x:v>
      </x:c>
      <x:c r="J96" s="94" t="n">
        <x:f>IF(G96="",0,G96*I96)</x:f>
        <x:v>0</x:v>
      </x:c>
      <x:c r="K96" s="93"/>
      <x:c r="L96" s="93"/>
      <x:c r="M96" s="97" t="n">
        <x:f>IF(G96="",0,G96-F96-H96-J96-K96-L96)</x:f>
        <x:v>0</x:v>
      </x:c>
      <x:c r="N96" s="98" t="n">
        <x:f>IFERROR(M96/G96,0)</x:f>
        <x:v>0</x:v>
      </x:c>
    </x:row>
    <x:row r="97">
      <x:c r="A97" s="92"/>
      <x:c r="B97" s="92"/>
      <x:c r="C97" s="93"/>
      <x:c r="D97" s="93"/>
      <x:c r="E97" s="93"/>
      <x:c r="F97" s="94" t="n">
        <x:f>SUM(C97:E97)</x:f>
        <x:v>0</x:v>
      </x:c>
      <x:c r="G97" s="95"/>
      <x:c r="H97" s="93"/>
      <x:c r="I97" s="96" t="n">
        <x:v>0.038</x:v>
      </x:c>
      <x:c r="J97" s="94" t="n">
        <x:f>IF(G97="",0,G97*I97)</x:f>
        <x:v>0</x:v>
      </x:c>
      <x:c r="K97" s="93"/>
      <x:c r="L97" s="93"/>
      <x:c r="M97" s="97" t="n">
        <x:f>IF(G97="",0,G97-F97-H97-J97-K97-L97)</x:f>
        <x:v>0</x:v>
      </x:c>
      <x:c r="N97" s="98" t="n">
        <x:f>IFERROR(M97/G97,0)</x:f>
        <x:v>0</x:v>
      </x:c>
    </x:row>
    <x:row r="98">
      <x:c r="A98" s="92"/>
      <x:c r="B98" s="92"/>
      <x:c r="C98" s="93"/>
      <x:c r="D98" s="93"/>
      <x:c r="E98" s="93"/>
      <x:c r="F98" s="94" t="n">
        <x:f>SUM(C98:E98)</x:f>
        <x:v>0</x:v>
      </x:c>
      <x:c r="G98" s="95"/>
      <x:c r="H98" s="93"/>
      <x:c r="I98" s="96" t="n">
        <x:v>0.038</x:v>
      </x:c>
      <x:c r="J98" s="94" t="n">
        <x:f>IF(G98="",0,G98*I98)</x:f>
        <x:v>0</x:v>
      </x:c>
      <x:c r="K98" s="93"/>
      <x:c r="L98" s="93"/>
      <x:c r="M98" s="97" t="n">
        <x:f>IF(G98="",0,G98-F98-H98-J98-K98-L98)</x:f>
        <x:v>0</x:v>
      </x:c>
      <x:c r="N98" s="98" t="n">
        <x:f>IFERROR(M98/G98,0)</x:f>
        <x:v>0</x:v>
      </x:c>
    </x:row>
    <x:row r="99">
      <x:c r="A99" s="92"/>
      <x:c r="B99" s="92"/>
      <x:c r="C99" s="93"/>
      <x:c r="D99" s="93"/>
      <x:c r="E99" s="93"/>
      <x:c r="F99" s="94" t="n">
        <x:f>SUM(C99:E99)</x:f>
        <x:v>0</x:v>
      </x:c>
      <x:c r="G99" s="95"/>
      <x:c r="H99" s="93"/>
      <x:c r="I99" s="96" t="n">
        <x:v>0.038</x:v>
      </x:c>
      <x:c r="J99" s="94" t="n">
        <x:f>IF(G99="",0,G99*I99)</x:f>
        <x:v>0</x:v>
      </x:c>
      <x:c r="K99" s="93"/>
      <x:c r="L99" s="93"/>
      <x:c r="M99" s="97" t="n">
        <x:f>IF(G99="",0,G99-F99-H99-J99-K99-L99)</x:f>
        <x:v>0</x:v>
      </x:c>
      <x:c r="N99" s="98" t="n">
        <x:f>IFERROR(M99/G99,0)</x:f>
        <x:v>0</x:v>
      </x:c>
    </x:row>
    <x:row r="100">
      <x:c r="A100" s="92"/>
      <x:c r="B100" s="92"/>
      <x:c r="C100" s="93"/>
      <x:c r="D100" s="93"/>
      <x:c r="E100" s="93"/>
      <x:c r="F100" s="94" t="n">
        <x:f>SUM(C100:E100)</x:f>
        <x:v>0</x:v>
      </x:c>
      <x:c r="G100" s="95"/>
      <x:c r="H100" s="93"/>
      <x:c r="I100" s="96" t="n">
        <x:v>0.038</x:v>
      </x:c>
      <x:c r="J100" s="94" t="n">
        <x:f>IF(G100="",0,G100*I100)</x:f>
        <x:v>0</x:v>
      </x:c>
      <x:c r="K100" s="93"/>
      <x:c r="L100" s="93"/>
      <x:c r="M100" s="97" t="n">
        <x:f>IF(G100="",0,G100-F100-H100-J100-K100-L100)</x:f>
        <x:v>0</x:v>
      </x:c>
      <x:c r="N100" s="98" t="n">
        <x:f>IFERROR(M100/G100,0)</x:f>
        <x:v>0</x:v>
      </x:c>
    </x:row>
    <x:row r="101">
      <x:c r="A101" s="92"/>
      <x:c r="B101" s="92"/>
      <x:c r="C101" s="93"/>
      <x:c r="D101" s="93"/>
      <x:c r="E101" s="93"/>
      <x:c r="F101" s="94" t="n">
        <x:f>SUM(C101:E101)</x:f>
        <x:v>0</x:v>
      </x:c>
      <x:c r="G101" s="95"/>
      <x:c r="H101" s="93"/>
      <x:c r="I101" s="96" t="n">
        <x:v>0.038</x:v>
      </x:c>
      <x:c r="J101" s="94" t="n">
        <x:f>IF(G101="",0,G101*I101)</x:f>
        <x:v>0</x:v>
      </x:c>
      <x:c r="K101" s="93"/>
      <x:c r="L101" s="93"/>
      <x:c r="M101" s="97" t="n">
        <x:f>IF(G101="",0,G101-F101-H101-J101-K101-L101)</x:f>
        <x:v>0</x:v>
      </x:c>
      <x:c r="N101" s="98" t="n">
        <x:f>IFERROR(M101/G101,0)</x:f>
        <x:v>0</x:v>
      </x:c>
    </x:row>
    <x:row r="102">
      <x:c r="A102" s="92"/>
      <x:c r="B102" s="92"/>
      <x:c r="C102" s="93"/>
      <x:c r="D102" s="93"/>
      <x:c r="E102" s="93"/>
      <x:c r="F102" s="94" t="n">
        <x:f>SUM(C102:E102)</x:f>
        <x:v>0</x:v>
      </x:c>
      <x:c r="G102" s="95"/>
      <x:c r="H102" s="93"/>
      <x:c r="I102" s="96" t="n">
        <x:v>0.038</x:v>
      </x:c>
      <x:c r="J102" s="94" t="n">
        <x:f>IF(G102="",0,G102*I102)</x:f>
        <x:v>0</x:v>
      </x:c>
      <x:c r="K102" s="93"/>
      <x:c r="L102" s="93"/>
      <x:c r="M102" s="97" t="n">
        <x:f>IF(G102="",0,G102-F102-H102-J102-K102-L102)</x:f>
        <x:v>0</x:v>
      </x:c>
      <x:c r="N102" s="98" t="n">
        <x:f>IFERROR(M102/G102,0)</x:f>
        <x:v>0</x:v>
      </x:c>
    </x:row>
    <x:row r="103">
      <x:c r="A103" s="92"/>
      <x:c r="B103" s="92"/>
      <x:c r="C103" s="93"/>
      <x:c r="D103" s="93"/>
      <x:c r="E103" s="93"/>
      <x:c r="F103" s="94" t="n">
        <x:f>SUM(C103:E103)</x:f>
        <x:v>0</x:v>
      </x:c>
      <x:c r="G103" s="95"/>
      <x:c r="H103" s="93"/>
      <x:c r="I103" s="96" t="n">
        <x:v>0.038</x:v>
      </x:c>
      <x:c r="J103" s="94" t="n">
        <x:f>IF(G103="",0,G103*I103)</x:f>
        <x:v>0</x:v>
      </x:c>
      <x:c r="K103" s="93"/>
      <x:c r="L103" s="93"/>
      <x:c r="M103" s="97" t="n">
        <x:f>IF(G103="",0,G103-F103-H103-J103-K103-L103)</x:f>
        <x:v>0</x:v>
      </x:c>
      <x:c r="N103" s="98" t="n">
        <x:f>IFERROR(M103/G103,0)</x:f>
        <x:v>0</x:v>
      </x:c>
    </x:row>
    <x:row r="104">
      <x:c r="A104" s="99"/>
      <x:c r="B104" s="99"/>
      <x:c r="C104" s="100"/>
      <x:c r="D104" s="100"/>
      <x:c r="E104" s="100"/>
      <x:c r="F104" s="101" t="n">
        <x:f>SUM(C104:E104)</x:f>
        <x:v>0</x:v>
      </x:c>
      <x:c r="G104" s="102"/>
      <x:c r="H104" s="100"/>
      <x:c r="I104" s="103" t="n">
        <x:v>0.038</x:v>
      </x:c>
      <x:c r="J104" s="101" t="n">
        <x:f>IF(G104="",0,G104*I104)</x:f>
        <x:v>0</x:v>
      </x:c>
      <x:c r="K104" s="100"/>
      <x:c r="L104" s="100"/>
      <x:c r="M104" s="104" t="n">
        <x:f>IF(G104="",0,G104-F104-H104-J104-K104-L104)</x:f>
        <x:v>0</x:v>
      </x:c>
      <x:c r="N104" s="105" t="n">
        <x:f>IFERROR(M104/G104,0)</x:f>
        <x:v>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2" hidden="0" customWidth="1"/>
    <x:col min="8" max="8" width="13" hidden="0" customWidth="1"/>
    <x:col min="9" max="9" width="13" hidden="0" customWidth="1"/>
    <x:col min="10" max="10" width="14" hidden="0" customWidth="1"/>
    <x:col min="12" max="12" width="15" hidden="0" customWidth="1"/>
    <x:col min="13" max="13" width="14" hidden="0" customWidth="1"/>
  </x:cols>
  <x:sheetData>
    <x:row r="1" ht="30" customHeight="1">
      <x:c r="A1" s="4" t="str">
        <x:v>PHILIA  |  재고 · 판매 확인</x:v>
      </x:c>
      <x:c r="B1" s="4"/>
      <x:c r="C1" s="4"/>
      <x:c r="D1" s="4"/>
      <x:c r="E1" s="4"/>
      <x:c r="F1" s="4"/>
      <x:c r="G1" s="4"/>
      <x:c r="H1" s="4"/>
      <x:c r="I1" s="4"/>
      <x:c r="J1" s="4"/>
      <x:c r="L1" s="164" t="str">
        <x:v>요약</x:v>
      </x:c>
      <x:c r="M1" s="164"/>
    </x:row>
    <x:row r="2" ht="20" customHeight="1">
      <x:c r="A2" s="11" t="str">
        <x:v>기초재고와 판매수량만 입력하면 현재재고 · 총매출 · 총 영업이익이 자동 계산됩니다.</x:v>
      </x:c>
      <x:c r="B2" s="11"/>
      <x:c r="C2" s="11"/>
      <x:c r="D2" s="11"/>
      <x:c r="E2" s="11"/>
      <x:c r="F2" s="11"/>
      <x:c r="G2" s="11"/>
      <x:c r="H2" s="11"/>
      <x:c r="I2" s="11"/>
      <x:c r="J2" s="11"/>
      <x:c r="L2" s="167" t="str">
        <x:v>총 판매수량</x:v>
      </x:c>
      <x:c r="M2" s="179" t="n">
        <x:f>SUM(E5:E104)</x:f>
        <x:v>3</x:v>
      </x:c>
    </x:row>
    <x:row r="3">
      <x:c r="L3" s="167" t="str">
        <x:v>총 현재재고</x:v>
      </x:c>
      <x:c r="M3" s="179" t="n">
        <x:f>SUM(F5:F104)</x:f>
        <x:v>17</x:v>
      </x:c>
    </x:row>
    <x:row r="4" ht="28" customHeight="1">
      <x:c r="A4" s="125" t="str">
        <x:v>SKU</x:v>
      </x:c>
      <x:c r="B4" s="125" t="str">
        <x:v>상품명</x:v>
      </x:c>
      <x:c r="C4" s="129" t="str">
        <x:v>기초재고</x:v>
      </x:c>
      <x:c r="D4" s="129" t="str">
        <x:v>추가입고</x:v>
      </x:c>
      <x:c r="E4" s="129" t="str">
        <x:v>판매수량</x:v>
      </x:c>
      <x:c r="F4" s="125" t="str">
        <x:v>현재재고</x:v>
      </x:c>
      <x:c r="G4" s="133" t="str">
        <x:v>판매가</x:v>
      </x:c>
      <x:c r="H4" s="133" t="str">
        <x:v>영업이익/개</x:v>
      </x:c>
      <x:c r="I4" s="133" t="str">
        <x:v>총매출</x:v>
      </x:c>
      <x:c r="J4" s="133" t="str">
        <x:v>총 영업이익</x:v>
      </x:c>
      <x:c r="L4" s="167" t="str">
        <x:v>총매출</x:v>
      </x:c>
      <x:c r="M4" s="175" t="n">
        <x:f>SUM(I5:I104)</x:f>
        <x:v>477000</x:v>
      </x:c>
    </x:row>
    <x:row r="5">
      <x:c r="A5" s="135" t="str">
        <x:v>PH26FW-OT01</x:v>
      </x:c>
      <x:c r="B5" s="135" t="str"/>
      <x:c r="C5" s="147" t="n">
        <x:v>20</x:v>
      </x:c>
      <x:c r="D5" s="147" t="n">
        <x:v>0</x:v>
      </x:c>
      <x:c r="E5" s="147" t="n">
        <x:v>3</x:v>
      </x:c>
      <x:c r="F5" s="148" t="n">
        <x:f>IF(A5="","",C5+D5-E5)</x:f>
        <x:v>17</x:v>
      </x:c>
      <x:c r="G5" s="159" t="n">
        <x:f>IFERROR(VLOOKUP(A5,'상품 손익'!$A$5:$N$104,7,FALSE),0)</x:f>
        <x:v>159000</x:v>
      </x:c>
      <x:c r="H5" s="159" t="n">
        <x:f>IFERROR(VLOOKUP(A5,'상품 손익'!$A$5:$N$104,13,FALSE),0)</x:f>
        <x:v>64958</x:v>
      </x:c>
      <x:c r="I5" s="159" t="n">
        <x:f>IF(A5="",0,E5*G5)</x:f>
        <x:v>477000</x:v>
      </x:c>
      <x:c r="J5" s="159" t="n">
        <x:f>IF(A5="",0,E5*H5)</x:f>
        <x:v>194874</x:v>
      </x:c>
      <x:c r="L5" s="168" t="str">
        <x:v>총 영업이익</x:v>
      </x:c>
      <x:c r="M5" s="176" t="n">
        <x:f>SUM(J5:J104)</x:f>
        <x:v>194874</x:v>
      </x:c>
    </x:row>
    <x:row r="6">
      <x:c r="A6" s="135"/>
      <x:c r="B6" s="135" t="str">
        <x:f>IFERROR(VLOOKUP(A6,'상품 손익'!$A$5:$N$104,2,FALSE),"")</x:f>
      </x:c>
      <x:c r="C6" s="147"/>
      <x:c r="D6" s="147"/>
      <x:c r="E6" s="147"/>
      <x:c r="F6" s="148" t="str">
        <x:f>IF(A6="","",C6+D6-E6)</x:f>
      </x:c>
      <x:c r="G6" s="159" t="str">
        <x:f>IFERROR(VLOOKUP(A6,'상품 손익'!$A$5:$N$104,7,FALSE),0)</x:f>
      </x:c>
      <x:c r="H6" s="159" t="n">
        <x:f>IFERROR(VLOOKUP(A6,'상품 손익'!$A$5:$N$104,13,FALSE),0)</x:f>
        <x:v>0</x:v>
      </x:c>
      <x:c r="I6" s="159" t="n">
        <x:f>IF(A6="",0,E6*G6)</x:f>
        <x:v>0</x:v>
      </x:c>
      <x:c r="J6" s="159" t="n">
        <x:f>IF(A6="",0,E6*H6)</x:f>
        <x:v>0</x:v>
      </x:c>
    </x:row>
    <x:row r="7">
      <x:c r="A7" s="135"/>
      <x:c r="B7" s="135" t="str">
        <x:f>IFERROR(VLOOKUP(A7,'상품 손익'!$A$5:$N$104,2,FALSE),"")</x:f>
      </x:c>
      <x:c r="C7" s="147"/>
      <x:c r="D7" s="147"/>
      <x:c r="E7" s="147"/>
      <x:c r="F7" s="148" t="str">
        <x:f>IF(A7="","",C7+D7-E7)</x:f>
      </x:c>
      <x:c r="G7" s="159" t="str">
        <x:f>IFERROR(VLOOKUP(A7,'상품 손익'!$A$5:$N$104,7,FALSE),0)</x:f>
      </x:c>
      <x:c r="H7" s="159" t="n">
        <x:f>IFERROR(VLOOKUP(A7,'상품 손익'!$A$5:$N$104,13,FALSE),0)</x:f>
        <x:v>0</x:v>
      </x:c>
      <x:c r="I7" s="159" t="n">
        <x:f>IF(A7="",0,E7*G7)</x:f>
        <x:v>0</x:v>
      </x:c>
      <x:c r="J7" s="159" t="n">
        <x:f>IF(A7="",0,E7*H7)</x:f>
        <x:v>0</x:v>
      </x:c>
    </x:row>
    <x:row r="8">
      <x:c r="A8" s="135"/>
      <x:c r="B8" s="135" t="str">
        <x:f>IFERROR(VLOOKUP(A8,'상품 손익'!$A$5:$N$104,2,FALSE),"")</x:f>
      </x:c>
      <x:c r="C8" s="147"/>
      <x:c r="D8" s="147"/>
      <x:c r="E8" s="147"/>
      <x:c r="F8" s="148" t="str">
        <x:f>IF(A8="","",C8+D8-E8)</x:f>
      </x:c>
      <x:c r="G8" s="159" t="str">
        <x:f>IFERROR(VLOOKUP(A8,'상품 손익'!$A$5:$N$104,7,FALSE),0)</x:f>
      </x:c>
      <x:c r="H8" s="159" t="n">
        <x:f>IFERROR(VLOOKUP(A8,'상품 손익'!$A$5:$N$104,13,FALSE),0)</x:f>
        <x:v>0</x:v>
      </x:c>
      <x:c r="I8" s="159" t="n">
        <x:f>IF(A8="",0,E8*G8)</x:f>
        <x:v>0</x:v>
      </x:c>
      <x:c r="J8" s="159" t="n">
        <x:f>IF(A8="",0,E8*H8)</x:f>
        <x:v>0</x:v>
      </x:c>
    </x:row>
    <x:row r="9">
      <x:c r="A9" s="135"/>
      <x:c r="B9" s="135" t="str">
        <x:f>IFERROR(VLOOKUP(A9,'상품 손익'!$A$5:$N$104,2,FALSE),"")</x:f>
      </x:c>
      <x:c r="C9" s="147"/>
      <x:c r="D9" s="147"/>
      <x:c r="E9" s="147"/>
      <x:c r="F9" s="148" t="str">
        <x:f>IF(A9="","",C9+D9-E9)</x:f>
      </x:c>
      <x:c r="G9" s="159" t="str">
        <x:f>IFERROR(VLOOKUP(A9,'상품 손익'!$A$5:$N$104,7,FALSE),0)</x:f>
      </x:c>
      <x:c r="H9" s="159" t="n">
        <x:f>IFERROR(VLOOKUP(A9,'상품 손익'!$A$5:$N$104,13,FALSE),0)</x:f>
        <x:v>0</x:v>
      </x:c>
      <x:c r="I9" s="159" t="n">
        <x:f>IF(A9="",0,E9*G9)</x:f>
        <x:v>0</x:v>
      </x:c>
      <x:c r="J9" s="159" t="n">
        <x:f>IF(A9="",0,E9*H9)</x:f>
        <x:v>0</x:v>
      </x:c>
    </x:row>
    <x:row r="10">
      <x:c r="A10" s="135"/>
      <x:c r="B10" s="135" t="str">
        <x:f>IFERROR(VLOOKUP(A10,'상품 손익'!$A$5:$N$104,2,FALSE),"")</x:f>
      </x:c>
      <x:c r="C10" s="147"/>
      <x:c r="D10" s="147"/>
      <x:c r="E10" s="147"/>
      <x:c r="F10" s="148" t="str">
        <x:f>IF(A10="","",C10+D10-E10)</x:f>
      </x:c>
      <x:c r="G10" s="159" t="str">
        <x:f>IFERROR(VLOOKUP(A10,'상품 손익'!$A$5:$N$104,7,FALSE),0)</x:f>
      </x:c>
      <x:c r="H10" s="159" t="n">
        <x:f>IFERROR(VLOOKUP(A10,'상품 손익'!$A$5:$N$104,13,FALSE),0)</x:f>
        <x:v>0</x:v>
      </x:c>
      <x:c r="I10" s="159" t="n">
        <x:f>IF(A10="",0,E10*G10)</x:f>
        <x:v>0</x:v>
      </x:c>
      <x:c r="J10" s="159" t="n">
        <x:f>IF(A10="",0,E10*H10)</x:f>
        <x:v>0</x:v>
      </x:c>
    </x:row>
    <x:row r="11">
      <x:c r="A11" s="135"/>
      <x:c r="B11" s="135" t="str">
        <x:f>IFERROR(VLOOKUP(A11,'상품 손익'!$A$5:$N$104,2,FALSE),"")</x:f>
      </x:c>
      <x:c r="C11" s="147"/>
      <x:c r="D11" s="147"/>
      <x:c r="E11" s="147"/>
      <x:c r="F11" s="148" t="str">
        <x:f>IF(A11="","",C11+D11-E11)</x:f>
      </x:c>
      <x:c r="G11" s="159" t="str">
        <x:f>IFERROR(VLOOKUP(A11,'상품 손익'!$A$5:$N$104,7,FALSE),0)</x:f>
      </x:c>
      <x:c r="H11" s="159" t="n">
        <x:f>IFERROR(VLOOKUP(A11,'상품 손익'!$A$5:$N$104,13,FALSE),0)</x:f>
        <x:v>0</x:v>
      </x:c>
      <x:c r="I11" s="159" t="n">
        <x:f>IF(A11="",0,E11*G11)</x:f>
        <x:v>0</x:v>
      </x:c>
      <x:c r="J11" s="159" t="n">
        <x:f>IF(A11="",0,E11*H11)</x:f>
        <x:v>0</x:v>
      </x:c>
    </x:row>
    <x:row r="12">
      <x:c r="A12" s="135"/>
      <x:c r="B12" s="135" t="str">
        <x:f>IFERROR(VLOOKUP(A12,'상품 손익'!$A$5:$N$104,2,FALSE),"")</x:f>
      </x:c>
      <x:c r="C12" s="147"/>
      <x:c r="D12" s="147"/>
      <x:c r="E12" s="147"/>
      <x:c r="F12" s="148" t="str">
        <x:f>IF(A12="","",C12+D12-E12)</x:f>
      </x:c>
      <x:c r="G12" s="159" t="str">
        <x:f>IFERROR(VLOOKUP(A12,'상품 손익'!$A$5:$N$104,7,FALSE),0)</x:f>
      </x:c>
      <x:c r="H12" s="159" t="n">
        <x:f>IFERROR(VLOOKUP(A12,'상품 손익'!$A$5:$N$104,13,FALSE),0)</x:f>
        <x:v>0</x:v>
      </x:c>
      <x:c r="I12" s="159" t="n">
        <x:f>IF(A12="",0,E12*G12)</x:f>
        <x:v>0</x:v>
      </x:c>
      <x:c r="J12" s="159" t="n">
        <x:f>IF(A12="",0,E12*H12)</x:f>
        <x:v>0</x:v>
      </x:c>
    </x:row>
    <x:row r="13">
      <x:c r="A13" s="135"/>
      <x:c r="B13" s="135" t="str">
        <x:f>IFERROR(VLOOKUP(A13,'상품 손익'!$A$5:$N$104,2,FALSE),"")</x:f>
      </x:c>
      <x:c r="C13" s="147"/>
      <x:c r="D13" s="147"/>
      <x:c r="E13" s="147"/>
      <x:c r="F13" s="148" t="str">
        <x:f>IF(A13="","",C13+D13-E13)</x:f>
      </x:c>
      <x:c r="G13" s="159" t="str">
        <x:f>IFERROR(VLOOKUP(A13,'상품 손익'!$A$5:$N$104,7,FALSE),0)</x:f>
      </x:c>
      <x:c r="H13" s="159" t="n">
        <x:f>IFERROR(VLOOKUP(A13,'상품 손익'!$A$5:$N$104,13,FALSE),0)</x:f>
        <x:v>0</x:v>
      </x:c>
      <x:c r="I13" s="159" t="n">
        <x:f>IF(A13="",0,E13*G13)</x:f>
        <x:v>0</x:v>
      </x:c>
      <x:c r="J13" s="159" t="n">
        <x:f>IF(A13="",0,E13*H13)</x:f>
        <x:v>0</x:v>
      </x:c>
    </x:row>
    <x:row r="14">
      <x:c r="A14" s="135"/>
      <x:c r="B14" s="135" t="str">
        <x:f>IFERROR(VLOOKUP(A14,'상품 손익'!$A$5:$N$104,2,FALSE),"")</x:f>
      </x:c>
      <x:c r="C14" s="147"/>
      <x:c r="D14" s="147"/>
      <x:c r="E14" s="147"/>
      <x:c r="F14" s="148" t="str">
        <x:f>IF(A14="","",C14+D14-E14)</x:f>
      </x:c>
      <x:c r="G14" s="159" t="str">
        <x:f>IFERROR(VLOOKUP(A14,'상품 손익'!$A$5:$N$104,7,FALSE),0)</x:f>
      </x:c>
      <x:c r="H14" s="159" t="n">
        <x:f>IFERROR(VLOOKUP(A14,'상품 손익'!$A$5:$N$104,13,FALSE),0)</x:f>
        <x:v>0</x:v>
      </x:c>
      <x:c r="I14" s="159" t="n">
        <x:f>IF(A14="",0,E14*G14)</x:f>
        <x:v>0</x:v>
      </x:c>
      <x:c r="J14" s="159" t="n">
        <x:f>IF(A14="",0,E14*H14)</x:f>
        <x:v>0</x:v>
      </x:c>
    </x:row>
    <x:row r="15">
      <x:c r="A15" s="135"/>
      <x:c r="B15" s="135" t="str">
        <x:f>IFERROR(VLOOKUP(A15,'상품 손익'!$A$5:$N$104,2,FALSE),"")</x:f>
      </x:c>
      <x:c r="C15" s="147"/>
      <x:c r="D15" s="147"/>
      <x:c r="E15" s="147"/>
      <x:c r="F15" s="148" t="str">
        <x:f>IF(A15="","",C15+D15-E15)</x:f>
      </x:c>
      <x:c r="G15" s="159" t="str">
        <x:f>IFERROR(VLOOKUP(A15,'상품 손익'!$A$5:$N$104,7,FALSE),0)</x:f>
      </x:c>
      <x:c r="H15" s="159" t="n">
        <x:f>IFERROR(VLOOKUP(A15,'상품 손익'!$A$5:$N$104,13,FALSE),0)</x:f>
        <x:v>0</x:v>
      </x:c>
      <x:c r="I15" s="159" t="n">
        <x:f>IF(A15="",0,E15*G15)</x:f>
        <x:v>0</x:v>
      </x:c>
      <x:c r="J15" s="159" t="n">
        <x:f>IF(A15="",0,E15*H15)</x:f>
        <x:v>0</x:v>
      </x:c>
    </x:row>
    <x:row r="16">
      <x:c r="A16" s="135"/>
      <x:c r="B16" s="135" t="str">
        <x:f>IFERROR(VLOOKUP(A16,'상품 손익'!$A$5:$N$104,2,FALSE),"")</x:f>
      </x:c>
      <x:c r="C16" s="147"/>
      <x:c r="D16" s="147"/>
      <x:c r="E16" s="147"/>
      <x:c r="F16" s="148" t="str">
        <x:f>IF(A16="","",C16+D16-E16)</x:f>
      </x:c>
      <x:c r="G16" s="159" t="str">
        <x:f>IFERROR(VLOOKUP(A16,'상품 손익'!$A$5:$N$104,7,FALSE),0)</x:f>
      </x:c>
      <x:c r="H16" s="159" t="n">
        <x:f>IFERROR(VLOOKUP(A16,'상품 손익'!$A$5:$N$104,13,FALSE),0)</x:f>
        <x:v>0</x:v>
      </x:c>
      <x:c r="I16" s="159" t="n">
        <x:f>IF(A16="",0,E16*G16)</x:f>
        <x:v>0</x:v>
      </x:c>
      <x:c r="J16" s="159" t="n">
        <x:f>IF(A16="",0,E16*H16)</x:f>
        <x:v>0</x:v>
      </x:c>
    </x:row>
    <x:row r="17">
      <x:c r="A17" s="135"/>
      <x:c r="B17" s="135" t="str">
        <x:f>IFERROR(VLOOKUP(A17,'상품 손익'!$A$5:$N$104,2,FALSE),"")</x:f>
      </x:c>
      <x:c r="C17" s="147"/>
      <x:c r="D17" s="147"/>
      <x:c r="E17" s="147"/>
      <x:c r="F17" s="148" t="str">
        <x:f>IF(A17="","",C17+D17-E17)</x:f>
      </x:c>
      <x:c r="G17" s="159" t="str">
        <x:f>IFERROR(VLOOKUP(A17,'상품 손익'!$A$5:$N$104,7,FALSE),0)</x:f>
      </x:c>
      <x:c r="H17" s="159" t="n">
        <x:f>IFERROR(VLOOKUP(A17,'상품 손익'!$A$5:$N$104,13,FALSE),0)</x:f>
        <x:v>0</x:v>
      </x:c>
      <x:c r="I17" s="159" t="n">
        <x:f>IF(A17="",0,E17*G17)</x:f>
        <x:v>0</x:v>
      </x:c>
      <x:c r="J17" s="159" t="n">
        <x:f>IF(A17="",0,E17*H17)</x:f>
        <x:v>0</x:v>
      </x:c>
    </x:row>
    <x:row r="18">
      <x:c r="A18" s="135"/>
      <x:c r="B18" s="135" t="str">
        <x:f>IFERROR(VLOOKUP(A18,'상품 손익'!$A$5:$N$104,2,FALSE),"")</x:f>
      </x:c>
      <x:c r="C18" s="147"/>
      <x:c r="D18" s="147"/>
      <x:c r="E18" s="147"/>
      <x:c r="F18" s="148" t="str">
        <x:f>IF(A18="","",C18+D18-E18)</x:f>
      </x:c>
      <x:c r="G18" s="159" t="str">
        <x:f>IFERROR(VLOOKUP(A18,'상품 손익'!$A$5:$N$104,7,FALSE),0)</x:f>
      </x:c>
      <x:c r="H18" s="159" t="n">
        <x:f>IFERROR(VLOOKUP(A18,'상품 손익'!$A$5:$N$104,13,FALSE),0)</x:f>
        <x:v>0</x:v>
      </x:c>
      <x:c r="I18" s="159" t="n">
        <x:f>IF(A18="",0,E18*G18)</x:f>
        <x:v>0</x:v>
      </x:c>
      <x:c r="J18" s="159" t="n">
        <x:f>IF(A18="",0,E18*H18)</x:f>
        <x:v>0</x:v>
      </x:c>
    </x:row>
    <x:row r="19">
      <x:c r="A19" s="135"/>
      <x:c r="B19" s="135" t="str">
        <x:f>IFERROR(VLOOKUP(A19,'상품 손익'!$A$5:$N$104,2,FALSE),"")</x:f>
      </x:c>
      <x:c r="C19" s="147"/>
      <x:c r="D19" s="147"/>
      <x:c r="E19" s="147"/>
      <x:c r="F19" s="148" t="str">
        <x:f>IF(A19="","",C19+D19-E19)</x:f>
      </x:c>
      <x:c r="G19" s="159" t="str">
        <x:f>IFERROR(VLOOKUP(A19,'상품 손익'!$A$5:$N$104,7,FALSE),0)</x:f>
      </x:c>
      <x:c r="H19" s="159" t="n">
        <x:f>IFERROR(VLOOKUP(A19,'상품 손익'!$A$5:$N$104,13,FALSE),0)</x:f>
        <x:v>0</x:v>
      </x:c>
      <x:c r="I19" s="159" t="n">
        <x:f>IF(A19="",0,E19*G19)</x:f>
        <x:v>0</x:v>
      </x:c>
      <x:c r="J19" s="159" t="n">
        <x:f>IF(A19="",0,E19*H19)</x:f>
        <x:v>0</x:v>
      </x:c>
    </x:row>
    <x:row r="20">
      <x:c r="A20" s="135"/>
      <x:c r="B20" s="135" t="str">
        <x:f>IFERROR(VLOOKUP(A20,'상품 손익'!$A$5:$N$104,2,FALSE),"")</x:f>
      </x:c>
      <x:c r="C20" s="147"/>
      <x:c r="D20" s="147"/>
      <x:c r="E20" s="147"/>
      <x:c r="F20" s="148" t="str">
        <x:f>IF(A20="","",C20+D20-E20)</x:f>
      </x:c>
      <x:c r="G20" s="159" t="str">
        <x:f>IFERROR(VLOOKUP(A20,'상품 손익'!$A$5:$N$104,7,FALSE),0)</x:f>
      </x:c>
      <x:c r="H20" s="159" t="n">
        <x:f>IFERROR(VLOOKUP(A20,'상품 손익'!$A$5:$N$104,13,FALSE),0)</x:f>
        <x:v>0</x:v>
      </x:c>
      <x:c r="I20" s="159" t="n">
        <x:f>IF(A20="",0,E20*G20)</x:f>
        <x:v>0</x:v>
      </x:c>
      <x:c r="J20" s="159" t="n">
        <x:f>IF(A20="",0,E20*H20)</x:f>
        <x:v>0</x:v>
      </x:c>
    </x:row>
    <x:row r="21">
      <x:c r="A21" s="135"/>
      <x:c r="B21" s="135" t="str">
        <x:f>IFERROR(VLOOKUP(A21,'상품 손익'!$A$5:$N$104,2,FALSE),"")</x:f>
      </x:c>
      <x:c r="C21" s="147"/>
      <x:c r="D21" s="147"/>
      <x:c r="E21" s="147"/>
      <x:c r="F21" s="148" t="str">
        <x:f>IF(A21="","",C21+D21-E21)</x:f>
      </x:c>
      <x:c r="G21" s="159" t="str">
        <x:f>IFERROR(VLOOKUP(A21,'상품 손익'!$A$5:$N$104,7,FALSE),0)</x:f>
      </x:c>
      <x:c r="H21" s="159" t="n">
        <x:f>IFERROR(VLOOKUP(A21,'상품 손익'!$A$5:$N$104,13,FALSE),0)</x:f>
        <x:v>0</x:v>
      </x:c>
      <x:c r="I21" s="159" t="n">
        <x:f>IF(A21="",0,E21*G21)</x:f>
        <x:v>0</x:v>
      </x:c>
      <x:c r="J21" s="159" t="n">
        <x:f>IF(A21="",0,E21*H21)</x:f>
        <x:v>0</x:v>
      </x:c>
    </x:row>
    <x:row r="22">
      <x:c r="A22" s="135"/>
      <x:c r="B22" s="135" t="str">
        <x:f>IFERROR(VLOOKUP(A22,'상품 손익'!$A$5:$N$104,2,FALSE),"")</x:f>
      </x:c>
      <x:c r="C22" s="147"/>
      <x:c r="D22" s="147"/>
      <x:c r="E22" s="147"/>
      <x:c r="F22" s="148" t="str">
        <x:f>IF(A22="","",C22+D22-E22)</x:f>
      </x:c>
      <x:c r="G22" s="159" t="str">
        <x:f>IFERROR(VLOOKUP(A22,'상품 손익'!$A$5:$N$104,7,FALSE),0)</x:f>
      </x:c>
      <x:c r="H22" s="159" t="n">
        <x:f>IFERROR(VLOOKUP(A22,'상품 손익'!$A$5:$N$104,13,FALSE),0)</x:f>
        <x:v>0</x:v>
      </x:c>
      <x:c r="I22" s="159" t="n">
        <x:f>IF(A22="",0,E22*G22)</x:f>
        <x:v>0</x:v>
      </x:c>
      <x:c r="J22" s="159" t="n">
        <x:f>IF(A22="",0,E22*H22)</x:f>
        <x:v>0</x:v>
      </x:c>
    </x:row>
    <x:row r="23">
      <x:c r="A23" s="135"/>
      <x:c r="B23" s="135" t="str">
        <x:f>IFERROR(VLOOKUP(A23,'상품 손익'!$A$5:$N$104,2,FALSE),"")</x:f>
      </x:c>
      <x:c r="C23" s="147"/>
      <x:c r="D23" s="147"/>
      <x:c r="E23" s="147"/>
      <x:c r="F23" s="148" t="str">
        <x:f>IF(A23="","",C23+D23-E23)</x:f>
      </x:c>
      <x:c r="G23" s="159" t="str">
        <x:f>IFERROR(VLOOKUP(A23,'상품 손익'!$A$5:$N$104,7,FALSE),0)</x:f>
      </x:c>
      <x:c r="H23" s="159" t="n">
        <x:f>IFERROR(VLOOKUP(A23,'상품 손익'!$A$5:$N$104,13,FALSE),0)</x:f>
        <x:v>0</x:v>
      </x:c>
      <x:c r="I23" s="159" t="n">
        <x:f>IF(A23="",0,E23*G23)</x:f>
        <x:v>0</x:v>
      </x:c>
      <x:c r="J23" s="159" t="n">
        <x:f>IF(A23="",0,E23*H23)</x:f>
        <x:v>0</x:v>
      </x:c>
    </x:row>
    <x:row r="24">
      <x:c r="A24" s="135"/>
      <x:c r="B24" s="135" t="str">
        <x:f>IFERROR(VLOOKUP(A24,'상품 손익'!$A$5:$N$104,2,FALSE),"")</x:f>
      </x:c>
      <x:c r="C24" s="147"/>
      <x:c r="D24" s="147"/>
      <x:c r="E24" s="147"/>
      <x:c r="F24" s="148" t="str">
        <x:f>IF(A24="","",C24+D24-E24)</x:f>
      </x:c>
      <x:c r="G24" s="159" t="str">
        <x:f>IFERROR(VLOOKUP(A24,'상품 손익'!$A$5:$N$104,7,FALSE),0)</x:f>
      </x:c>
      <x:c r="H24" s="159" t="n">
        <x:f>IFERROR(VLOOKUP(A24,'상품 손익'!$A$5:$N$104,13,FALSE),0)</x:f>
        <x:v>0</x:v>
      </x:c>
      <x:c r="I24" s="159" t="n">
        <x:f>IF(A24="",0,E24*G24)</x:f>
        <x:v>0</x:v>
      </x:c>
      <x:c r="J24" s="159" t="n">
        <x:f>IF(A24="",0,E24*H24)</x:f>
        <x:v>0</x:v>
      </x:c>
    </x:row>
    <x:row r="25">
      <x:c r="A25" s="135"/>
      <x:c r="B25" s="135" t="str">
        <x:f>IFERROR(VLOOKUP(A25,'상품 손익'!$A$5:$N$104,2,FALSE),"")</x:f>
      </x:c>
      <x:c r="C25" s="147"/>
      <x:c r="D25" s="147"/>
      <x:c r="E25" s="147"/>
      <x:c r="F25" s="148" t="str">
        <x:f>IF(A25="","",C25+D25-E25)</x:f>
      </x:c>
      <x:c r="G25" s="159" t="str">
        <x:f>IFERROR(VLOOKUP(A25,'상품 손익'!$A$5:$N$104,7,FALSE),0)</x:f>
      </x:c>
      <x:c r="H25" s="159" t="n">
        <x:f>IFERROR(VLOOKUP(A25,'상품 손익'!$A$5:$N$104,13,FALSE),0)</x:f>
        <x:v>0</x:v>
      </x:c>
      <x:c r="I25" s="159" t="n">
        <x:f>IF(A25="",0,E25*G25)</x:f>
        <x:v>0</x:v>
      </x:c>
      <x:c r="J25" s="159" t="n">
        <x:f>IF(A25="",0,E25*H25)</x:f>
        <x:v>0</x:v>
      </x:c>
    </x:row>
    <x:row r="26">
      <x:c r="A26" s="135"/>
      <x:c r="B26" s="135" t="str">
        <x:f>IFERROR(VLOOKUP(A26,'상품 손익'!$A$5:$N$104,2,FALSE),"")</x:f>
      </x:c>
      <x:c r="C26" s="147"/>
      <x:c r="D26" s="147"/>
      <x:c r="E26" s="147"/>
      <x:c r="F26" s="148" t="str">
        <x:f>IF(A26="","",C26+D26-E26)</x:f>
      </x:c>
      <x:c r="G26" s="159" t="str">
        <x:f>IFERROR(VLOOKUP(A26,'상품 손익'!$A$5:$N$104,7,FALSE),0)</x:f>
      </x:c>
      <x:c r="H26" s="159" t="n">
        <x:f>IFERROR(VLOOKUP(A26,'상품 손익'!$A$5:$N$104,13,FALSE),0)</x:f>
        <x:v>0</x:v>
      </x:c>
      <x:c r="I26" s="159" t="n">
        <x:f>IF(A26="",0,E26*G26)</x:f>
        <x:v>0</x:v>
      </x:c>
      <x:c r="J26" s="159" t="n">
        <x:f>IF(A26="",0,E26*H26)</x:f>
        <x:v>0</x:v>
      </x:c>
    </x:row>
    <x:row r="27">
      <x:c r="A27" s="135"/>
      <x:c r="B27" s="135" t="str">
        <x:f>IFERROR(VLOOKUP(A27,'상품 손익'!$A$5:$N$104,2,FALSE),"")</x:f>
      </x:c>
      <x:c r="C27" s="147"/>
      <x:c r="D27" s="147"/>
      <x:c r="E27" s="147"/>
      <x:c r="F27" s="148" t="str">
        <x:f>IF(A27="","",C27+D27-E27)</x:f>
      </x:c>
      <x:c r="G27" s="159" t="str">
        <x:f>IFERROR(VLOOKUP(A27,'상품 손익'!$A$5:$N$104,7,FALSE),0)</x:f>
      </x:c>
      <x:c r="H27" s="159" t="n">
        <x:f>IFERROR(VLOOKUP(A27,'상품 손익'!$A$5:$N$104,13,FALSE),0)</x:f>
        <x:v>0</x:v>
      </x:c>
      <x:c r="I27" s="159" t="n">
        <x:f>IF(A27="",0,E27*G27)</x:f>
        <x:v>0</x:v>
      </x:c>
      <x:c r="J27" s="159" t="n">
        <x:f>IF(A27="",0,E27*H27)</x:f>
        <x:v>0</x:v>
      </x:c>
    </x:row>
    <x:row r="28">
      <x:c r="A28" s="135"/>
      <x:c r="B28" s="135" t="str">
        <x:f>IFERROR(VLOOKUP(A28,'상품 손익'!$A$5:$N$104,2,FALSE),"")</x:f>
      </x:c>
      <x:c r="C28" s="147"/>
      <x:c r="D28" s="147"/>
      <x:c r="E28" s="147"/>
      <x:c r="F28" s="148" t="str">
        <x:f>IF(A28="","",C28+D28-E28)</x:f>
      </x:c>
      <x:c r="G28" s="159" t="str">
        <x:f>IFERROR(VLOOKUP(A28,'상품 손익'!$A$5:$N$104,7,FALSE),0)</x:f>
      </x:c>
      <x:c r="H28" s="159" t="n">
        <x:f>IFERROR(VLOOKUP(A28,'상품 손익'!$A$5:$N$104,13,FALSE),0)</x:f>
        <x:v>0</x:v>
      </x:c>
      <x:c r="I28" s="159" t="n">
        <x:f>IF(A28="",0,E28*G28)</x:f>
        <x:v>0</x:v>
      </x:c>
      <x:c r="J28" s="159" t="n">
        <x:f>IF(A28="",0,E28*H28)</x:f>
        <x:v>0</x:v>
      </x:c>
    </x:row>
    <x:row r="29">
      <x:c r="A29" s="135"/>
      <x:c r="B29" s="135" t="str">
        <x:f>IFERROR(VLOOKUP(A29,'상품 손익'!$A$5:$N$104,2,FALSE),"")</x:f>
      </x:c>
      <x:c r="C29" s="147"/>
      <x:c r="D29" s="147"/>
      <x:c r="E29" s="147"/>
      <x:c r="F29" s="148" t="str">
        <x:f>IF(A29="","",C29+D29-E29)</x:f>
      </x:c>
      <x:c r="G29" s="159" t="str">
        <x:f>IFERROR(VLOOKUP(A29,'상품 손익'!$A$5:$N$104,7,FALSE),0)</x:f>
      </x:c>
      <x:c r="H29" s="159" t="n">
        <x:f>IFERROR(VLOOKUP(A29,'상품 손익'!$A$5:$N$104,13,FALSE),0)</x:f>
        <x:v>0</x:v>
      </x:c>
      <x:c r="I29" s="159" t="n">
        <x:f>IF(A29="",0,E29*G29)</x:f>
        <x:v>0</x:v>
      </x:c>
      <x:c r="J29" s="159" t="n">
        <x:f>IF(A29="",0,E29*H29)</x:f>
        <x:v>0</x:v>
      </x:c>
    </x:row>
    <x:row r="30">
      <x:c r="A30" s="135"/>
      <x:c r="B30" s="135" t="str">
        <x:f>IFERROR(VLOOKUP(A30,'상품 손익'!$A$5:$N$104,2,FALSE),"")</x:f>
      </x:c>
      <x:c r="C30" s="147"/>
      <x:c r="D30" s="147"/>
      <x:c r="E30" s="147"/>
      <x:c r="F30" s="148" t="str">
        <x:f>IF(A30="","",C30+D30-E30)</x:f>
      </x:c>
      <x:c r="G30" s="159" t="str">
        <x:f>IFERROR(VLOOKUP(A30,'상품 손익'!$A$5:$N$104,7,FALSE),0)</x:f>
      </x:c>
      <x:c r="H30" s="159" t="n">
        <x:f>IFERROR(VLOOKUP(A30,'상품 손익'!$A$5:$N$104,13,FALSE),0)</x:f>
        <x:v>0</x:v>
      </x:c>
      <x:c r="I30" s="159" t="n">
        <x:f>IF(A30="",0,E30*G30)</x:f>
        <x:v>0</x:v>
      </x:c>
      <x:c r="J30" s="159" t="n">
        <x:f>IF(A30="",0,E30*H30)</x:f>
        <x:v>0</x:v>
      </x:c>
    </x:row>
    <x:row r="31">
      <x:c r="A31" s="135"/>
      <x:c r="B31" s="135" t="str">
        <x:f>IFERROR(VLOOKUP(A31,'상품 손익'!$A$5:$N$104,2,FALSE),"")</x:f>
      </x:c>
      <x:c r="C31" s="147"/>
      <x:c r="D31" s="147"/>
      <x:c r="E31" s="147"/>
      <x:c r="F31" s="148" t="str">
        <x:f>IF(A31="","",C31+D31-E31)</x:f>
      </x:c>
      <x:c r="G31" s="159" t="str">
        <x:f>IFERROR(VLOOKUP(A31,'상품 손익'!$A$5:$N$104,7,FALSE),0)</x:f>
      </x:c>
      <x:c r="H31" s="159" t="n">
        <x:f>IFERROR(VLOOKUP(A31,'상품 손익'!$A$5:$N$104,13,FALSE),0)</x:f>
        <x:v>0</x:v>
      </x:c>
      <x:c r="I31" s="159" t="n">
        <x:f>IF(A31="",0,E31*G31)</x:f>
        <x:v>0</x:v>
      </x:c>
      <x:c r="J31" s="159" t="n">
        <x:f>IF(A31="",0,E31*H31)</x:f>
        <x:v>0</x:v>
      </x:c>
    </x:row>
    <x:row r="32">
      <x:c r="A32" s="135"/>
      <x:c r="B32" s="135" t="str">
        <x:f>IFERROR(VLOOKUP(A32,'상품 손익'!$A$5:$N$104,2,FALSE),"")</x:f>
      </x:c>
      <x:c r="C32" s="147"/>
      <x:c r="D32" s="147"/>
      <x:c r="E32" s="147"/>
      <x:c r="F32" s="148" t="str">
        <x:f>IF(A32="","",C32+D32-E32)</x:f>
      </x:c>
      <x:c r="G32" s="159" t="str">
        <x:f>IFERROR(VLOOKUP(A32,'상품 손익'!$A$5:$N$104,7,FALSE),0)</x:f>
      </x:c>
      <x:c r="H32" s="159" t="n">
        <x:f>IFERROR(VLOOKUP(A32,'상품 손익'!$A$5:$N$104,13,FALSE),0)</x:f>
        <x:v>0</x:v>
      </x:c>
      <x:c r="I32" s="159" t="n">
        <x:f>IF(A32="",0,E32*G32)</x:f>
        <x:v>0</x:v>
      </x:c>
      <x:c r="J32" s="159" t="n">
        <x:f>IF(A32="",0,E32*H32)</x:f>
        <x:v>0</x:v>
      </x:c>
    </x:row>
    <x:row r="33">
      <x:c r="A33" s="135"/>
      <x:c r="B33" s="135" t="str">
        <x:f>IFERROR(VLOOKUP(A33,'상품 손익'!$A$5:$N$104,2,FALSE),"")</x:f>
      </x:c>
      <x:c r="C33" s="147"/>
      <x:c r="D33" s="147"/>
      <x:c r="E33" s="147"/>
      <x:c r="F33" s="148" t="str">
        <x:f>IF(A33="","",C33+D33-E33)</x:f>
      </x:c>
      <x:c r="G33" s="159" t="str">
        <x:f>IFERROR(VLOOKUP(A33,'상품 손익'!$A$5:$N$104,7,FALSE),0)</x:f>
      </x:c>
      <x:c r="H33" s="159" t="n">
        <x:f>IFERROR(VLOOKUP(A33,'상품 손익'!$A$5:$N$104,13,FALSE),0)</x:f>
        <x:v>0</x:v>
      </x:c>
      <x:c r="I33" s="159" t="n">
        <x:f>IF(A33="",0,E33*G33)</x:f>
        <x:v>0</x:v>
      </x:c>
      <x:c r="J33" s="159" t="n">
        <x:f>IF(A33="",0,E33*H33)</x:f>
        <x:v>0</x:v>
      </x:c>
    </x:row>
    <x:row r="34">
      <x:c r="A34" s="135"/>
      <x:c r="B34" s="135" t="str">
        <x:f>IFERROR(VLOOKUP(A34,'상품 손익'!$A$5:$N$104,2,FALSE),"")</x:f>
      </x:c>
      <x:c r="C34" s="147"/>
      <x:c r="D34" s="147"/>
      <x:c r="E34" s="147"/>
      <x:c r="F34" s="148" t="str">
        <x:f>IF(A34="","",C34+D34-E34)</x:f>
      </x:c>
      <x:c r="G34" s="159" t="str">
        <x:f>IFERROR(VLOOKUP(A34,'상품 손익'!$A$5:$N$104,7,FALSE),0)</x:f>
      </x:c>
      <x:c r="H34" s="159" t="n">
        <x:f>IFERROR(VLOOKUP(A34,'상품 손익'!$A$5:$N$104,13,FALSE),0)</x:f>
        <x:v>0</x:v>
      </x:c>
      <x:c r="I34" s="159" t="n">
        <x:f>IF(A34="",0,E34*G34)</x:f>
        <x:v>0</x:v>
      </x:c>
      <x:c r="J34" s="159" t="n">
        <x:f>IF(A34="",0,E34*H34)</x:f>
        <x:v>0</x:v>
      </x:c>
    </x:row>
    <x:row r="35">
      <x:c r="A35" s="135"/>
      <x:c r="B35" s="135" t="str">
        <x:f>IFERROR(VLOOKUP(A35,'상품 손익'!$A$5:$N$104,2,FALSE),"")</x:f>
      </x:c>
      <x:c r="C35" s="147"/>
      <x:c r="D35" s="147"/>
      <x:c r="E35" s="147"/>
      <x:c r="F35" s="148" t="str">
        <x:f>IF(A35="","",C35+D35-E35)</x:f>
      </x:c>
      <x:c r="G35" s="159" t="str">
        <x:f>IFERROR(VLOOKUP(A35,'상품 손익'!$A$5:$N$104,7,FALSE),0)</x:f>
      </x:c>
      <x:c r="H35" s="159" t="n">
        <x:f>IFERROR(VLOOKUP(A35,'상품 손익'!$A$5:$N$104,13,FALSE),0)</x:f>
        <x:v>0</x:v>
      </x:c>
      <x:c r="I35" s="159" t="n">
        <x:f>IF(A35="",0,E35*G35)</x:f>
        <x:v>0</x:v>
      </x:c>
      <x:c r="J35" s="159" t="n">
        <x:f>IF(A35="",0,E35*H35)</x:f>
        <x:v>0</x:v>
      </x:c>
    </x:row>
    <x:row r="36">
      <x:c r="A36" s="135"/>
      <x:c r="B36" s="135" t="str">
        <x:f>IFERROR(VLOOKUP(A36,'상품 손익'!$A$5:$N$104,2,FALSE),"")</x:f>
      </x:c>
      <x:c r="C36" s="147"/>
      <x:c r="D36" s="147"/>
      <x:c r="E36" s="147"/>
      <x:c r="F36" s="148" t="str">
        <x:f>IF(A36="","",C36+D36-E36)</x:f>
      </x:c>
      <x:c r="G36" s="159" t="str">
        <x:f>IFERROR(VLOOKUP(A36,'상품 손익'!$A$5:$N$104,7,FALSE),0)</x:f>
      </x:c>
      <x:c r="H36" s="159" t="n">
        <x:f>IFERROR(VLOOKUP(A36,'상품 손익'!$A$5:$N$104,13,FALSE),0)</x:f>
        <x:v>0</x:v>
      </x:c>
      <x:c r="I36" s="159" t="n">
        <x:f>IF(A36="",0,E36*G36)</x:f>
        <x:v>0</x:v>
      </x:c>
      <x:c r="J36" s="159" t="n">
        <x:f>IF(A36="",0,E36*H36)</x:f>
        <x:v>0</x:v>
      </x:c>
    </x:row>
    <x:row r="37">
      <x:c r="A37" s="135"/>
      <x:c r="B37" s="135" t="str">
        <x:f>IFERROR(VLOOKUP(A37,'상품 손익'!$A$5:$N$104,2,FALSE),"")</x:f>
      </x:c>
      <x:c r="C37" s="147"/>
      <x:c r="D37" s="147"/>
      <x:c r="E37" s="147"/>
      <x:c r="F37" s="148" t="str">
        <x:f>IF(A37="","",C37+D37-E37)</x:f>
      </x:c>
      <x:c r="G37" s="159" t="str">
        <x:f>IFERROR(VLOOKUP(A37,'상품 손익'!$A$5:$N$104,7,FALSE),0)</x:f>
      </x:c>
      <x:c r="H37" s="159" t="n">
        <x:f>IFERROR(VLOOKUP(A37,'상품 손익'!$A$5:$N$104,13,FALSE),0)</x:f>
        <x:v>0</x:v>
      </x:c>
      <x:c r="I37" s="159" t="n">
        <x:f>IF(A37="",0,E37*G37)</x:f>
        <x:v>0</x:v>
      </x:c>
      <x:c r="J37" s="159" t="n">
        <x:f>IF(A37="",0,E37*H37)</x:f>
        <x:v>0</x:v>
      </x:c>
    </x:row>
    <x:row r="38">
      <x:c r="A38" s="135"/>
      <x:c r="B38" s="135" t="str">
        <x:f>IFERROR(VLOOKUP(A38,'상품 손익'!$A$5:$N$104,2,FALSE),"")</x:f>
      </x:c>
      <x:c r="C38" s="147"/>
      <x:c r="D38" s="147"/>
      <x:c r="E38" s="147"/>
      <x:c r="F38" s="148" t="str">
        <x:f>IF(A38="","",C38+D38-E38)</x:f>
      </x:c>
      <x:c r="G38" s="159" t="str">
        <x:f>IFERROR(VLOOKUP(A38,'상품 손익'!$A$5:$N$104,7,FALSE),0)</x:f>
      </x:c>
      <x:c r="H38" s="159" t="n">
        <x:f>IFERROR(VLOOKUP(A38,'상품 손익'!$A$5:$N$104,13,FALSE),0)</x:f>
        <x:v>0</x:v>
      </x:c>
      <x:c r="I38" s="159" t="n">
        <x:f>IF(A38="",0,E38*G38)</x:f>
        <x:v>0</x:v>
      </x:c>
      <x:c r="J38" s="159" t="n">
        <x:f>IF(A38="",0,E38*H38)</x:f>
        <x:v>0</x:v>
      </x:c>
    </x:row>
    <x:row r="39">
      <x:c r="A39" s="135"/>
      <x:c r="B39" s="135" t="str">
        <x:f>IFERROR(VLOOKUP(A39,'상품 손익'!$A$5:$N$104,2,FALSE),"")</x:f>
      </x:c>
      <x:c r="C39" s="147"/>
      <x:c r="D39" s="147"/>
      <x:c r="E39" s="147"/>
      <x:c r="F39" s="148" t="str">
        <x:f>IF(A39="","",C39+D39-E39)</x:f>
      </x:c>
      <x:c r="G39" s="159" t="str">
        <x:f>IFERROR(VLOOKUP(A39,'상품 손익'!$A$5:$N$104,7,FALSE),0)</x:f>
      </x:c>
      <x:c r="H39" s="159" t="n">
        <x:f>IFERROR(VLOOKUP(A39,'상품 손익'!$A$5:$N$104,13,FALSE),0)</x:f>
        <x:v>0</x:v>
      </x:c>
      <x:c r="I39" s="159" t="n">
        <x:f>IF(A39="",0,E39*G39)</x:f>
        <x:v>0</x:v>
      </x:c>
      <x:c r="J39" s="159" t="n">
        <x:f>IF(A39="",0,E39*H39)</x:f>
        <x:v>0</x:v>
      </x:c>
    </x:row>
    <x:row r="40">
      <x:c r="A40" s="135"/>
      <x:c r="B40" s="135" t="str">
        <x:f>IFERROR(VLOOKUP(A40,'상품 손익'!$A$5:$N$104,2,FALSE),"")</x:f>
      </x:c>
      <x:c r="C40" s="147"/>
      <x:c r="D40" s="147"/>
      <x:c r="E40" s="147"/>
      <x:c r="F40" s="148" t="str">
        <x:f>IF(A40="","",C40+D40-E40)</x:f>
      </x:c>
      <x:c r="G40" s="159" t="str">
        <x:f>IFERROR(VLOOKUP(A40,'상품 손익'!$A$5:$N$104,7,FALSE),0)</x:f>
      </x:c>
      <x:c r="H40" s="159" t="n">
        <x:f>IFERROR(VLOOKUP(A40,'상품 손익'!$A$5:$N$104,13,FALSE),0)</x:f>
        <x:v>0</x:v>
      </x:c>
      <x:c r="I40" s="159" t="n">
        <x:f>IF(A40="",0,E40*G40)</x:f>
        <x:v>0</x:v>
      </x:c>
      <x:c r="J40" s="159" t="n">
        <x:f>IF(A40="",0,E40*H40)</x:f>
        <x:v>0</x:v>
      </x:c>
    </x:row>
    <x:row r="41">
      <x:c r="A41" s="135"/>
      <x:c r="B41" s="135" t="str">
        <x:f>IFERROR(VLOOKUP(A41,'상품 손익'!$A$5:$N$104,2,FALSE),"")</x:f>
      </x:c>
      <x:c r="C41" s="147"/>
      <x:c r="D41" s="147"/>
      <x:c r="E41" s="147"/>
      <x:c r="F41" s="148" t="str">
        <x:f>IF(A41="","",C41+D41-E41)</x:f>
      </x:c>
      <x:c r="G41" s="159" t="str">
        <x:f>IFERROR(VLOOKUP(A41,'상품 손익'!$A$5:$N$104,7,FALSE),0)</x:f>
      </x:c>
      <x:c r="H41" s="159" t="n">
        <x:f>IFERROR(VLOOKUP(A41,'상품 손익'!$A$5:$N$104,13,FALSE),0)</x:f>
        <x:v>0</x:v>
      </x:c>
      <x:c r="I41" s="159" t="n">
        <x:f>IF(A41="",0,E41*G41)</x:f>
        <x:v>0</x:v>
      </x:c>
      <x:c r="J41" s="159" t="n">
        <x:f>IF(A41="",0,E41*H41)</x:f>
        <x:v>0</x:v>
      </x:c>
    </x:row>
    <x:row r="42">
      <x:c r="A42" s="135"/>
      <x:c r="B42" s="135" t="str">
        <x:f>IFERROR(VLOOKUP(A42,'상품 손익'!$A$5:$N$104,2,FALSE),"")</x:f>
      </x:c>
      <x:c r="C42" s="147"/>
      <x:c r="D42" s="147"/>
      <x:c r="E42" s="147"/>
      <x:c r="F42" s="148" t="str">
        <x:f>IF(A42="","",C42+D42-E42)</x:f>
      </x:c>
      <x:c r="G42" s="159" t="str">
        <x:f>IFERROR(VLOOKUP(A42,'상품 손익'!$A$5:$N$104,7,FALSE),0)</x:f>
      </x:c>
      <x:c r="H42" s="159" t="n">
        <x:f>IFERROR(VLOOKUP(A42,'상품 손익'!$A$5:$N$104,13,FALSE),0)</x:f>
        <x:v>0</x:v>
      </x:c>
      <x:c r="I42" s="159" t="n">
        <x:f>IF(A42="",0,E42*G42)</x:f>
        <x:v>0</x:v>
      </x:c>
      <x:c r="J42" s="159" t="n">
        <x:f>IF(A42="",0,E42*H42)</x:f>
        <x:v>0</x:v>
      </x:c>
    </x:row>
    <x:row r="43">
      <x:c r="A43" s="135"/>
      <x:c r="B43" s="135" t="str">
        <x:f>IFERROR(VLOOKUP(A43,'상품 손익'!$A$5:$N$104,2,FALSE),"")</x:f>
      </x:c>
      <x:c r="C43" s="147"/>
      <x:c r="D43" s="147"/>
      <x:c r="E43" s="147"/>
      <x:c r="F43" s="148" t="str">
        <x:f>IF(A43="","",C43+D43-E43)</x:f>
      </x:c>
      <x:c r="G43" s="159" t="str">
        <x:f>IFERROR(VLOOKUP(A43,'상품 손익'!$A$5:$N$104,7,FALSE),0)</x:f>
      </x:c>
      <x:c r="H43" s="159" t="n">
        <x:f>IFERROR(VLOOKUP(A43,'상품 손익'!$A$5:$N$104,13,FALSE),0)</x:f>
        <x:v>0</x:v>
      </x:c>
      <x:c r="I43" s="159" t="n">
        <x:f>IF(A43="",0,E43*G43)</x:f>
        <x:v>0</x:v>
      </x:c>
      <x:c r="J43" s="159" t="n">
        <x:f>IF(A43="",0,E43*H43)</x:f>
        <x:v>0</x:v>
      </x:c>
    </x:row>
    <x:row r="44">
      <x:c r="A44" s="135"/>
      <x:c r="B44" s="135" t="str">
        <x:f>IFERROR(VLOOKUP(A44,'상품 손익'!$A$5:$N$104,2,FALSE),"")</x:f>
      </x:c>
      <x:c r="C44" s="147"/>
      <x:c r="D44" s="147"/>
      <x:c r="E44" s="147"/>
      <x:c r="F44" s="148" t="str">
        <x:f>IF(A44="","",C44+D44-E44)</x:f>
      </x:c>
      <x:c r="G44" s="159" t="str">
        <x:f>IFERROR(VLOOKUP(A44,'상품 손익'!$A$5:$N$104,7,FALSE),0)</x:f>
      </x:c>
      <x:c r="H44" s="159" t="n">
        <x:f>IFERROR(VLOOKUP(A44,'상품 손익'!$A$5:$N$104,13,FALSE),0)</x:f>
        <x:v>0</x:v>
      </x:c>
      <x:c r="I44" s="159" t="n">
        <x:f>IF(A44="",0,E44*G44)</x:f>
        <x:v>0</x:v>
      </x:c>
      <x:c r="J44" s="159" t="n">
        <x:f>IF(A44="",0,E44*H44)</x:f>
        <x:v>0</x:v>
      </x:c>
    </x:row>
    <x:row r="45">
      <x:c r="A45" s="135"/>
      <x:c r="B45" s="135" t="str">
        <x:f>IFERROR(VLOOKUP(A45,'상품 손익'!$A$5:$N$104,2,FALSE),"")</x:f>
      </x:c>
      <x:c r="C45" s="147"/>
      <x:c r="D45" s="147"/>
      <x:c r="E45" s="147"/>
      <x:c r="F45" s="148" t="str">
        <x:f>IF(A45="","",C45+D45-E45)</x:f>
      </x:c>
      <x:c r="G45" s="159" t="str">
        <x:f>IFERROR(VLOOKUP(A45,'상품 손익'!$A$5:$N$104,7,FALSE),0)</x:f>
      </x:c>
      <x:c r="H45" s="159" t="n">
        <x:f>IFERROR(VLOOKUP(A45,'상품 손익'!$A$5:$N$104,13,FALSE),0)</x:f>
        <x:v>0</x:v>
      </x:c>
      <x:c r="I45" s="159" t="n">
        <x:f>IF(A45="",0,E45*G45)</x:f>
        <x:v>0</x:v>
      </x:c>
      <x:c r="J45" s="159" t="n">
        <x:f>IF(A45="",0,E45*H45)</x:f>
        <x:v>0</x:v>
      </x:c>
    </x:row>
    <x:row r="46">
      <x:c r="A46" s="135"/>
      <x:c r="B46" s="135" t="str">
        <x:f>IFERROR(VLOOKUP(A46,'상품 손익'!$A$5:$N$104,2,FALSE),"")</x:f>
      </x:c>
      <x:c r="C46" s="147"/>
      <x:c r="D46" s="147"/>
      <x:c r="E46" s="147"/>
      <x:c r="F46" s="148" t="str">
        <x:f>IF(A46="","",C46+D46-E46)</x:f>
      </x:c>
      <x:c r="G46" s="159" t="str">
        <x:f>IFERROR(VLOOKUP(A46,'상품 손익'!$A$5:$N$104,7,FALSE),0)</x:f>
      </x:c>
      <x:c r="H46" s="159" t="n">
        <x:f>IFERROR(VLOOKUP(A46,'상품 손익'!$A$5:$N$104,13,FALSE),0)</x:f>
        <x:v>0</x:v>
      </x:c>
      <x:c r="I46" s="159" t="n">
        <x:f>IF(A46="",0,E46*G46)</x:f>
        <x:v>0</x:v>
      </x:c>
      <x:c r="J46" s="159" t="n">
        <x:f>IF(A46="",0,E46*H46)</x:f>
        <x:v>0</x:v>
      </x:c>
    </x:row>
    <x:row r="47">
      <x:c r="A47" s="135"/>
      <x:c r="B47" s="135" t="str">
        <x:f>IFERROR(VLOOKUP(A47,'상품 손익'!$A$5:$N$104,2,FALSE),"")</x:f>
      </x:c>
      <x:c r="C47" s="147"/>
      <x:c r="D47" s="147"/>
      <x:c r="E47" s="147"/>
      <x:c r="F47" s="148" t="str">
        <x:f>IF(A47="","",C47+D47-E47)</x:f>
      </x:c>
      <x:c r="G47" s="159" t="str">
        <x:f>IFERROR(VLOOKUP(A47,'상품 손익'!$A$5:$N$104,7,FALSE),0)</x:f>
      </x:c>
      <x:c r="H47" s="159" t="n">
        <x:f>IFERROR(VLOOKUP(A47,'상품 손익'!$A$5:$N$104,13,FALSE),0)</x:f>
        <x:v>0</x:v>
      </x:c>
      <x:c r="I47" s="159" t="n">
        <x:f>IF(A47="",0,E47*G47)</x:f>
        <x:v>0</x:v>
      </x:c>
      <x:c r="J47" s="159" t="n">
        <x:f>IF(A47="",0,E47*H47)</x:f>
        <x:v>0</x:v>
      </x:c>
    </x:row>
    <x:row r="48">
      <x:c r="A48" s="135"/>
      <x:c r="B48" s="135" t="str">
        <x:f>IFERROR(VLOOKUP(A48,'상품 손익'!$A$5:$N$104,2,FALSE),"")</x:f>
      </x:c>
      <x:c r="C48" s="147"/>
      <x:c r="D48" s="147"/>
      <x:c r="E48" s="147"/>
      <x:c r="F48" s="148" t="str">
        <x:f>IF(A48="","",C48+D48-E48)</x:f>
      </x:c>
      <x:c r="G48" s="159" t="str">
        <x:f>IFERROR(VLOOKUP(A48,'상품 손익'!$A$5:$N$104,7,FALSE),0)</x:f>
      </x:c>
      <x:c r="H48" s="159" t="n">
        <x:f>IFERROR(VLOOKUP(A48,'상품 손익'!$A$5:$N$104,13,FALSE),0)</x:f>
        <x:v>0</x:v>
      </x:c>
      <x:c r="I48" s="159" t="n">
        <x:f>IF(A48="",0,E48*G48)</x:f>
        <x:v>0</x:v>
      </x:c>
      <x:c r="J48" s="159" t="n">
        <x:f>IF(A48="",0,E48*H48)</x:f>
        <x:v>0</x:v>
      </x:c>
    </x:row>
    <x:row r="49">
      <x:c r="A49" s="135"/>
      <x:c r="B49" s="135" t="str">
        <x:f>IFERROR(VLOOKUP(A49,'상품 손익'!$A$5:$N$104,2,FALSE),"")</x:f>
      </x:c>
      <x:c r="C49" s="147"/>
      <x:c r="D49" s="147"/>
      <x:c r="E49" s="147"/>
      <x:c r="F49" s="148" t="str">
        <x:f>IF(A49="","",C49+D49-E49)</x:f>
      </x:c>
      <x:c r="G49" s="159" t="str">
        <x:f>IFERROR(VLOOKUP(A49,'상품 손익'!$A$5:$N$104,7,FALSE),0)</x:f>
      </x:c>
      <x:c r="H49" s="159" t="n">
        <x:f>IFERROR(VLOOKUP(A49,'상품 손익'!$A$5:$N$104,13,FALSE),0)</x:f>
        <x:v>0</x:v>
      </x:c>
      <x:c r="I49" s="159" t="n">
        <x:f>IF(A49="",0,E49*G49)</x:f>
        <x:v>0</x:v>
      </x:c>
      <x:c r="J49" s="159" t="n">
        <x:f>IF(A49="",0,E49*H49)</x:f>
        <x:v>0</x:v>
      </x:c>
    </x:row>
    <x:row r="50">
      <x:c r="A50" s="135"/>
      <x:c r="B50" s="135" t="str">
        <x:f>IFERROR(VLOOKUP(A50,'상품 손익'!$A$5:$N$104,2,FALSE),"")</x:f>
      </x:c>
      <x:c r="C50" s="147"/>
      <x:c r="D50" s="147"/>
      <x:c r="E50" s="147"/>
      <x:c r="F50" s="148" t="str">
        <x:f>IF(A50="","",C50+D50-E50)</x:f>
      </x:c>
      <x:c r="G50" s="159" t="str">
        <x:f>IFERROR(VLOOKUP(A50,'상품 손익'!$A$5:$N$104,7,FALSE),0)</x:f>
      </x:c>
      <x:c r="H50" s="159" t="n">
        <x:f>IFERROR(VLOOKUP(A50,'상품 손익'!$A$5:$N$104,13,FALSE),0)</x:f>
        <x:v>0</x:v>
      </x:c>
      <x:c r="I50" s="159" t="n">
        <x:f>IF(A50="",0,E50*G50)</x:f>
        <x:v>0</x:v>
      </x:c>
      <x:c r="J50" s="159" t="n">
        <x:f>IF(A50="",0,E50*H50)</x:f>
        <x:v>0</x:v>
      </x:c>
    </x:row>
    <x:row r="51">
      <x:c r="A51" s="135"/>
      <x:c r="B51" s="135" t="str">
        <x:f>IFERROR(VLOOKUP(A51,'상품 손익'!$A$5:$N$104,2,FALSE),"")</x:f>
      </x:c>
      <x:c r="C51" s="147"/>
      <x:c r="D51" s="147"/>
      <x:c r="E51" s="147"/>
      <x:c r="F51" s="148" t="str">
        <x:f>IF(A51="","",C51+D51-E51)</x:f>
      </x:c>
      <x:c r="G51" s="159" t="str">
        <x:f>IFERROR(VLOOKUP(A51,'상품 손익'!$A$5:$N$104,7,FALSE),0)</x:f>
      </x:c>
      <x:c r="H51" s="159" t="n">
        <x:f>IFERROR(VLOOKUP(A51,'상품 손익'!$A$5:$N$104,13,FALSE),0)</x:f>
        <x:v>0</x:v>
      </x:c>
      <x:c r="I51" s="159" t="n">
        <x:f>IF(A51="",0,E51*G51)</x:f>
        <x:v>0</x:v>
      </x:c>
      <x:c r="J51" s="159" t="n">
        <x:f>IF(A51="",0,E51*H51)</x:f>
        <x:v>0</x:v>
      </x:c>
    </x:row>
    <x:row r="52">
      <x:c r="A52" s="135"/>
      <x:c r="B52" s="135" t="str">
        <x:f>IFERROR(VLOOKUP(A52,'상품 손익'!$A$5:$N$104,2,FALSE),"")</x:f>
      </x:c>
      <x:c r="C52" s="147"/>
      <x:c r="D52" s="147"/>
      <x:c r="E52" s="147"/>
      <x:c r="F52" s="148" t="str">
        <x:f>IF(A52="","",C52+D52-E52)</x:f>
      </x:c>
      <x:c r="G52" s="159" t="str">
        <x:f>IFERROR(VLOOKUP(A52,'상품 손익'!$A$5:$N$104,7,FALSE),0)</x:f>
      </x:c>
      <x:c r="H52" s="159" t="n">
        <x:f>IFERROR(VLOOKUP(A52,'상품 손익'!$A$5:$N$104,13,FALSE),0)</x:f>
        <x:v>0</x:v>
      </x:c>
      <x:c r="I52" s="159" t="n">
        <x:f>IF(A52="",0,E52*G52)</x:f>
        <x:v>0</x:v>
      </x:c>
      <x:c r="J52" s="159" t="n">
        <x:f>IF(A52="",0,E52*H52)</x:f>
        <x:v>0</x:v>
      </x:c>
    </x:row>
    <x:row r="53">
      <x:c r="A53" s="135"/>
      <x:c r="B53" s="135" t="str">
        <x:f>IFERROR(VLOOKUP(A53,'상품 손익'!$A$5:$N$104,2,FALSE),"")</x:f>
      </x:c>
      <x:c r="C53" s="147"/>
      <x:c r="D53" s="147"/>
      <x:c r="E53" s="147"/>
      <x:c r="F53" s="148" t="str">
        <x:f>IF(A53="","",C53+D53-E53)</x:f>
      </x:c>
      <x:c r="G53" s="159" t="str">
        <x:f>IFERROR(VLOOKUP(A53,'상품 손익'!$A$5:$N$104,7,FALSE),0)</x:f>
      </x:c>
      <x:c r="H53" s="159" t="n">
        <x:f>IFERROR(VLOOKUP(A53,'상품 손익'!$A$5:$N$104,13,FALSE),0)</x:f>
        <x:v>0</x:v>
      </x:c>
      <x:c r="I53" s="159" t="n">
        <x:f>IF(A53="",0,E53*G53)</x:f>
        <x:v>0</x:v>
      </x:c>
      <x:c r="J53" s="159" t="n">
        <x:f>IF(A53="",0,E53*H53)</x:f>
        <x:v>0</x:v>
      </x:c>
    </x:row>
    <x:row r="54">
      <x:c r="A54" s="135"/>
      <x:c r="B54" s="135" t="str">
        <x:f>IFERROR(VLOOKUP(A54,'상품 손익'!$A$5:$N$104,2,FALSE),"")</x:f>
      </x:c>
      <x:c r="C54" s="147"/>
      <x:c r="D54" s="147"/>
      <x:c r="E54" s="147"/>
      <x:c r="F54" s="148" t="str">
        <x:f>IF(A54="","",C54+D54-E54)</x:f>
      </x:c>
      <x:c r="G54" s="159" t="str">
        <x:f>IFERROR(VLOOKUP(A54,'상품 손익'!$A$5:$N$104,7,FALSE),0)</x:f>
      </x:c>
      <x:c r="H54" s="159" t="n">
        <x:f>IFERROR(VLOOKUP(A54,'상품 손익'!$A$5:$N$104,13,FALSE),0)</x:f>
        <x:v>0</x:v>
      </x:c>
      <x:c r="I54" s="159" t="n">
        <x:f>IF(A54="",0,E54*G54)</x:f>
        <x:v>0</x:v>
      </x:c>
      <x:c r="J54" s="159" t="n">
        <x:f>IF(A54="",0,E54*H54)</x:f>
        <x:v>0</x:v>
      </x:c>
    </x:row>
    <x:row r="55">
      <x:c r="A55" s="135"/>
      <x:c r="B55" s="135" t="str">
        <x:f>IFERROR(VLOOKUP(A55,'상품 손익'!$A$5:$N$104,2,FALSE),"")</x:f>
      </x:c>
      <x:c r="C55" s="147"/>
      <x:c r="D55" s="147"/>
      <x:c r="E55" s="147"/>
      <x:c r="F55" s="148" t="str">
        <x:f>IF(A55="","",C55+D55-E55)</x:f>
      </x:c>
      <x:c r="G55" s="159" t="str">
        <x:f>IFERROR(VLOOKUP(A55,'상품 손익'!$A$5:$N$104,7,FALSE),0)</x:f>
      </x:c>
      <x:c r="H55" s="159" t="n">
        <x:f>IFERROR(VLOOKUP(A55,'상품 손익'!$A$5:$N$104,13,FALSE),0)</x:f>
        <x:v>0</x:v>
      </x:c>
      <x:c r="I55" s="159" t="n">
        <x:f>IF(A55="",0,E55*G55)</x:f>
        <x:v>0</x:v>
      </x:c>
      <x:c r="J55" s="159" t="n">
        <x:f>IF(A55="",0,E55*H55)</x:f>
        <x:v>0</x:v>
      </x:c>
    </x:row>
    <x:row r="56">
      <x:c r="A56" s="135"/>
      <x:c r="B56" s="135" t="str">
        <x:f>IFERROR(VLOOKUP(A56,'상품 손익'!$A$5:$N$104,2,FALSE),"")</x:f>
      </x:c>
      <x:c r="C56" s="147"/>
      <x:c r="D56" s="147"/>
      <x:c r="E56" s="147"/>
      <x:c r="F56" s="148" t="str">
        <x:f>IF(A56="","",C56+D56-E56)</x:f>
      </x:c>
      <x:c r="G56" s="159" t="str">
        <x:f>IFERROR(VLOOKUP(A56,'상품 손익'!$A$5:$N$104,7,FALSE),0)</x:f>
      </x:c>
      <x:c r="H56" s="159" t="n">
        <x:f>IFERROR(VLOOKUP(A56,'상품 손익'!$A$5:$N$104,13,FALSE),0)</x:f>
        <x:v>0</x:v>
      </x:c>
      <x:c r="I56" s="159" t="n">
        <x:f>IF(A56="",0,E56*G56)</x:f>
        <x:v>0</x:v>
      </x:c>
      <x:c r="J56" s="159" t="n">
        <x:f>IF(A56="",0,E56*H56)</x:f>
        <x:v>0</x:v>
      </x:c>
    </x:row>
    <x:row r="57">
      <x:c r="A57" s="135"/>
      <x:c r="B57" s="135" t="str">
        <x:f>IFERROR(VLOOKUP(A57,'상품 손익'!$A$5:$N$104,2,FALSE),"")</x:f>
      </x:c>
      <x:c r="C57" s="147"/>
      <x:c r="D57" s="147"/>
      <x:c r="E57" s="147"/>
      <x:c r="F57" s="148" t="str">
        <x:f>IF(A57="","",C57+D57-E57)</x:f>
      </x:c>
      <x:c r="G57" s="159" t="str">
        <x:f>IFERROR(VLOOKUP(A57,'상품 손익'!$A$5:$N$104,7,FALSE),0)</x:f>
      </x:c>
      <x:c r="H57" s="159" t="n">
        <x:f>IFERROR(VLOOKUP(A57,'상품 손익'!$A$5:$N$104,13,FALSE),0)</x:f>
        <x:v>0</x:v>
      </x:c>
      <x:c r="I57" s="159" t="n">
        <x:f>IF(A57="",0,E57*G57)</x:f>
        <x:v>0</x:v>
      </x:c>
      <x:c r="J57" s="159" t="n">
        <x:f>IF(A57="",0,E57*H57)</x:f>
        <x:v>0</x:v>
      </x:c>
    </x:row>
    <x:row r="58">
      <x:c r="A58" s="135"/>
      <x:c r="B58" s="135" t="str">
        <x:f>IFERROR(VLOOKUP(A58,'상품 손익'!$A$5:$N$104,2,FALSE),"")</x:f>
      </x:c>
      <x:c r="C58" s="147"/>
      <x:c r="D58" s="147"/>
      <x:c r="E58" s="147"/>
      <x:c r="F58" s="148" t="str">
        <x:f>IF(A58="","",C58+D58-E58)</x:f>
      </x:c>
      <x:c r="G58" s="159" t="str">
        <x:f>IFERROR(VLOOKUP(A58,'상품 손익'!$A$5:$N$104,7,FALSE),0)</x:f>
      </x:c>
      <x:c r="H58" s="159" t="n">
        <x:f>IFERROR(VLOOKUP(A58,'상품 손익'!$A$5:$N$104,13,FALSE),0)</x:f>
        <x:v>0</x:v>
      </x:c>
      <x:c r="I58" s="159" t="n">
        <x:f>IF(A58="",0,E58*G58)</x:f>
        <x:v>0</x:v>
      </x:c>
      <x:c r="J58" s="159" t="n">
        <x:f>IF(A58="",0,E58*H58)</x:f>
        <x:v>0</x:v>
      </x:c>
    </x:row>
    <x:row r="59">
      <x:c r="A59" s="135"/>
      <x:c r="B59" s="135" t="str">
        <x:f>IFERROR(VLOOKUP(A59,'상품 손익'!$A$5:$N$104,2,FALSE),"")</x:f>
      </x:c>
      <x:c r="C59" s="147"/>
      <x:c r="D59" s="147"/>
      <x:c r="E59" s="147"/>
      <x:c r="F59" s="148" t="str">
        <x:f>IF(A59="","",C59+D59-E59)</x:f>
      </x:c>
      <x:c r="G59" s="159" t="str">
        <x:f>IFERROR(VLOOKUP(A59,'상품 손익'!$A$5:$N$104,7,FALSE),0)</x:f>
      </x:c>
      <x:c r="H59" s="159" t="n">
        <x:f>IFERROR(VLOOKUP(A59,'상품 손익'!$A$5:$N$104,13,FALSE),0)</x:f>
        <x:v>0</x:v>
      </x:c>
      <x:c r="I59" s="159" t="n">
        <x:f>IF(A59="",0,E59*G59)</x:f>
        <x:v>0</x:v>
      </x:c>
      <x:c r="J59" s="159" t="n">
        <x:f>IF(A59="",0,E59*H59)</x:f>
        <x:v>0</x:v>
      </x:c>
    </x:row>
    <x:row r="60">
      <x:c r="A60" s="135"/>
      <x:c r="B60" s="135" t="str">
        <x:f>IFERROR(VLOOKUP(A60,'상품 손익'!$A$5:$N$104,2,FALSE),"")</x:f>
      </x:c>
      <x:c r="C60" s="147"/>
      <x:c r="D60" s="147"/>
      <x:c r="E60" s="147"/>
      <x:c r="F60" s="148" t="str">
        <x:f>IF(A60="","",C60+D60-E60)</x:f>
      </x:c>
      <x:c r="G60" s="159" t="str">
        <x:f>IFERROR(VLOOKUP(A60,'상품 손익'!$A$5:$N$104,7,FALSE),0)</x:f>
      </x:c>
      <x:c r="H60" s="159" t="n">
        <x:f>IFERROR(VLOOKUP(A60,'상품 손익'!$A$5:$N$104,13,FALSE),0)</x:f>
        <x:v>0</x:v>
      </x:c>
      <x:c r="I60" s="159" t="n">
        <x:f>IF(A60="",0,E60*G60)</x:f>
        <x:v>0</x:v>
      </x:c>
      <x:c r="J60" s="159" t="n">
        <x:f>IF(A60="",0,E60*H60)</x:f>
        <x:v>0</x:v>
      </x:c>
    </x:row>
    <x:row r="61">
      <x:c r="A61" s="135"/>
      <x:c r="B61" s="135" t="str">
        <x:f>IFERROR(VLOOKUP(A61,'상품 손익'!$A$5:$N$104,2,FALSE),"")</x:f>
      </x:c>
      <x:c r="C61" s="147"/>
      <x:c r="D61" s="147"/>
      <x:c r="E61" s="147"/>
      <x:c r="F61" s="148" t="str">
        <x:f>IF(A61="","",C61+D61-E61)</x:f>
      </x:c>
      <x:c r="G61" s="159" t="str">
        <x:f>IFERROR(VLOOKUP(A61,'상품 손익'!$A$5:$N$104,7,FALSE),0)</x:f>
      </x:c>
      <x:c r="H61" s="159" t="n">
        <x:f>IFERROR(VLOOKUP(A61,'상품 손익'!$A$5:$N$104,13,FALSE),0)</x:f>
        <x:v>0</x:v>
      </x:c>
      <x:c r="I61" s="159" t="n">
        <x:f>IF(A61="",0,E61*G61)</x:f>
        <x:v>0</x:v>
      </x:c>
      <x:c r="J61" s="159" t="n">
        <x:f>IF(A61="",0,E61*H61)</x:f>
        <x:v>0</x:v>
      </x:c>
    </x:row>
    <x:row r="62">
      <x:c r="A62" s="135"/>
      <x:c r="B62" s="135" t="str">
        <x:f>IFERROR(VLOOKUP(A62,'상품 손익'!$A$5:$N$104,2,FALSE),"")</x:f>
      </x:c>
      <x:c r="C62" s="147"/>
      <x:c r="D62" s="147"/>
      <x:c r="E62" s="147"/>
      <x:c r="F62" s="148" t="str">
        <x:f>IF(A62="","",C62+D62-E62)</x:f>
      </x:c>
      <x:c r="G62" s="159" t="str">
        <x:f>IFERROR(VLOOKUP(A62,'상품 손익'!$A$5:$N$104,7,FALSE),0)</x:f>
      </x:c>
      <x:c r="H62" s="159" t="n">
        <x:f>IFERROR(VLOOKUP(A62,'상품 손익'!$A$5:$N$104,13,FALSE),0)</x:f>
        <x:v>0</x:v>
      </x:c>
      <x:c r="I62" s="159" t="n">
        <x:f>IF(A62="",0,E62*G62)</x:f>
        <x:v>0</x:v>
      </x:c>
      <x:c r="J62" s="159" t="n">
        <x:f>IF(A62="",0,E62*H62)</x:f>
        <x:v>0</x:v>
      </x:c>
    </x:row>
    <x:row r="63">
      <x:c r="A63" s="135"/>
      <x:c r="B63" s="135" t="str">
        <x:f>IFERROR(VLOOKUP(A63,'상품 손익'!$A$5:$N$104,2,FALSE),"")</x:f>
      </x:c>
      <x:c r="C63" s="147"/>
      <x:c r="D63" s="147"/>
      <x:c r="E63" s="147"/>
      <x:c r="F63" s="148" t="str">
        <x:f>IF(A63="","",C63+D63-E63)</x:f>
      </x:c>
      <x:c r="G63" s="159" t="str">
        <x:f>IFERROR(VLOOKUP(A63,'상품 손익'!$A$5:$N$104,7,FALSE),0)</x:f>
      </x:c>
      <x:c r="H63" s="159" t="n">
        <x:f>IFERROR(VLOOKUP(A63,'상품 손익'!$A$5:$N$104,13,FALSE),0)</x:f>
        <x:v>0</x:v>
      </x:c>
      <x:c r="I63" s="159" t="n">
        <x:f>IF(A63="",0,E63*G63)</x:f>
        <x:v>0</x:v>
      </x:c>
      <x:c r="J63" s="159" t="n">
        <x:f>IF(A63="",0,E63*H63)</x:f>
        <x:v>0</x:v>
      </x:c>
    </x:row>
    <x:row r="64">
      <x:c r="A64" s="135"/>
      <x:c r="B64" s="135" t="str">
        <x:f>IFERROR(VLOOKUP(A64,'상품 손익'!$A$5:$N$104,2,FALSE),"")</x:f>
      </x:c>
      <x:c r="C64" s="147"/>
      <x:c r="D64" s="147"/>
      <x:c r="E64" s="147"/>
      <x:c r="F64" s="148" t="str">
        <x:f>IF(A64="","",C64+D64-E64)</x:f>
      </x:c>
      <x:c r="G64" s="159" t="str">
        <x:f>IFERROR(VLOOKUP(A64,'상품 손익'!$A$5:$N$104,7,FALSE),0)</x:f>
      </x:c>
      <x:c r="H64" s="159" t="n">
        <x:f>IFERROR(VLOOKUP(A64,'상품 손익'!$A$5:$N$104,13,FALSE),0)</x:f>
        <x:v>0</x:v>
      </x:c>
      <x:c r="I64" s="159" t="n">
        <x:f>IF(A64="",0,E64*G64)</x:f>
        <x:v>0</x:v>
      </x:c>
      <x:c r="J64" s="159" t="n">
        <x:f>IF(A64="",0,E64*H64)</x:f>
        <x:v>0</x:v>
      </x:c>
    </x:row>
    <x:row r="65">
      <x:c r="A65" s="135"/>
      <x:c r="B65" s="135" t="str">
        <x:f>IFERROR(VLOOKUP(A65,'상품 손익'!$A$5:$N$104,2,FALSE),"")</x:f>
      </x:c>
      <x:c r="C65" s="147"/>
      <x:c r="D65" s="147"/>
      <x:c r="E65" s="147"/>
      <x:c r="F65" s="148" t="str">
        <x:f>IF(A65="","",C65+D65-E65)</x:f>
      </x:c>
      <x:c r="G65" s="159" t="str">
        <x:f>IFERROR(VLOOKUP(A65,'상품 손익'!$A$5:$N$104,7,FALSE),0)</x:f>
      </x:c>
      <x:c r="H65" s="159" t="n">
        <x:f>IFERROR(VLOOKUP(A65,'상품 손익'!$A$5:$N$104,13,FALSE),0)</x:f>
        <x:v>0</x:v>
      </x:c>
      <x:c r="I65" s="159" t="n">
        <x:f>IF(A65="",0,E65*G65)</x:f>
        <x:v>0</x:v>
      </x:c>
      <x:c r="J65" s="159" t="n">
        <x:f>IF(A65="",0,E65*H65)</x:f>
        <x:v>0</x:v>
      </x:c>
    </x:row>
    <x:row r="66">
      <x:c r="A66" s="135"/>
      <x:c r="B66" s="135" t="str">
        <x:f>IFERROR(VLOOKUP(A66,'상품 손익'!$A$5:$N$104,2,FALSE),"")</x:f>
      </x:c>
      <x:c r="C66" s="147"/>
      <x:c r="D66" s="147"/>
      <x:c r="E66" s="147"/>
      <x:c r="F66" s="148" t="str">
        <x:f>IF(A66="","",C66+D66-E66)</x:f>
      </x:c>
      <x:c r="G66" s="159" t="str">
        <x:f>IFERROR(VLOOKUP(A66,'상품 손익'!$A$5:$N$104,7,FALSE),0)</x:f>
      </x:c>
      <x:c r="H66" s="159" t="n">
        <x:f>IFERROR(VLOOKUP(A66,'상품 손익'!$A$5:$N$104,13,FALSE),0)</x:f>
        <x:v>0</x:v>
      </x:c>
      <x:c r="I66" s="159" t="n">
        <x:f>IF(A66="",0,E66*G66)</x:f>
        <x:v>0</x:v>
      </x:c>
      <x:c r="J66" s="159" t="n">
        <x:f>IF(A66="",0,E66*H66)</x:f>
        <x:v>0</x:v>
      </x:c>
    </x:row>
    <x:row r="67">
      <x:c r="A67" s="135"/>
      <x:c r="B67" s="135" t="str">
        <x:f>IFERROR(VLOOKUP(A67,'상품 손익'!$A$5:$N$104,2,FALSE),"")</x:f>
      </x:c>
      <x:c r="C67" s="147"/>
      <x:c r="D67" s="147"/>
      <x:c r="E67" s="147"/>
      <x:c r="F67" s="148" t="str">
        <x:f>IF(A67="","",C67+D67-E67)</x:f>
      </x:c>
      <x:c r="G67" s="159" t="str">
        <x:f>IFERROR(VLOOKUP(A67,'상품 손익'!$A$5:$N$104,7,FALSE),0)</x:f>
      </x:c>
      <x:c r="H67" s="159" t="n">
        <x:f>IFERROR(VLOOKUP(A67,'상품 손익'!$A$5:$N$104,13,FALSE),0)</x:f>
        <x:v>0</x:v>
      </x:c>
      <x:c r="I67" s="159" t="n">
        <x:f>IF(A67="",0,E67*G67)</x:f>
        <x:v>0</x:v>
      </x:c>
      <x:c r="J67" s="159" t="n">
        <x:f>IF(A67="",0,E67*H67)</x:f>
        <x:v>0</x:v>
      </x:c>
    </x:row>
    <x:row r="68">
      <x:c r="A68" s="135"/>
      <x:c r="B68" s="135" t="str">
        <x:f>IFERROR(VLOOKUP(A68,'상품 손익'!$A$5:$N$104,2,FALSE),"")</x:f>
      </x:c>
      <x:c r="C68" s="147"/>
      <x:c r="D68" s="147"/>
      <x:c r="E68" s="147"/>
      <x:c r="F68" s="148" t="str">
        <x:f>IF(A68="","",C68+D68-E68)</x:f>
      </x:c>
      <x:c r="G68" s="159" t="str">
        <x:f>IFERROR(VLOOKUP(A68,'상품 손익'!$A$5:$N$104,7,FALSE),0)</x:f>
      </x:c>
      <x:c r="H68" s="159" t="n">
        <x:f>IFERROR(VLOOKUP(A68,'상품 손익'!$A$5:$N$104,13,FALSE),0)</x:f>
        <x:v>0</x:v>
      </x:c>
      <x:c r="I68" s="159" t="n">
        <x:f>IF(A68="",0,E68*G68)</x:f>
        <x:v>0</x:v>
      </x:c>
      <x:c r="J68" s="159" t="n">
        <x:f>IF(A68="",0,E68*H68)</x:f>
        <x:v>0</x:v>
      </x:c>
    </x:row>
    <x:row r="69">
      <x:c r="A69" s="135"/>
      <x:c r="B69" s="135" t="str">
        <x:f>IFERROR(VLOOKUP(A69,'상품 손익'!$A$5:$N$104,2,FALSE),"")</x:f>
      </x:c>
      <x:c r="C69" s="147"/>
      <x:c r="D69" s="147"/>
      <x:c r="E69" s="147"/>
      <x:c r="F69" s="148" t="str">
        <x:f>IF(A69="","",C69+D69-E69)</x:f>
      </x:c>
      <x:c r="G69" s="159" t="str">
        <x:f>IFERROR(VLOOKUP(A69,'상품 손익'!$A$5:$N$104,7,FALSE),0)</x:f>
      </x:c>
      <x:c r="H69" s="159" t="n">
        <x:f>IFERROR(VLOOKUP(A69,'상품 손익'!$A$5:$N$104,13,FALSE),0)</x:f>
        <x:v>0</x:v>
      </x:c>
      <x:c r="I69" s="159" t="n">
        <x:f>IF(A69="",0,E69*G69)</x:f>
        <x:v>0</x:v>
      </x:c>
      <x:c r="J69" s="159" t="n">
        <x:f>IF(A69="",0,E69*H69)</x:f>
        <x:v>0</x:v>
      </x:c>
    </x:row>
    <x:row r="70">
      <x:c r="A70" s="135"/>
      <x:c r="B70" s="135" t="str">
        <x:f>IFERROR(VLOOKUP(A70,'상품 손익'!$A$5:$N$104,2,FALSE),"")</x:f>
      </x:c>
      <x:c r="C70" s="147"/>
      <x:c r="D70" s="147"/>
      <x:c r="E70" s="147"/>
      <x:c r="F70" s="148" t="str">
        <x:f>IF(A70="","",C70+D70-E70)</x:f>
      </x:c>
      <x:c r="G70" s="159" t="str">
        <x:f>IFERROR(VLOOKUP(A70,'상품 손익'!$A$5:$N$104,7,FALSE),0)</x:f>
      </x:c>
      <x:c r="H70" s="159" t="n">
        <x:f>IFERROR(VLOOKUP(A70,'상품 손익'!$A$5:$N$104,13,FALSE),0)</x:f>
        <x:v>0</x:v>
      </x:c>
      <x:c r="I70" s="159" t="n">
        <x:f>IF(A70="",0,E70*G70)</x:f>
        <x:v>0</x:v>
      </x:c>
      <x:c r="J70" s="159" t="n">
        <x:f>IF(A70="",0,E70*H70)</x:f>
        <x:v>0</x:v>
      </x:c>
    </x:row>
    <x:row r="71">
      <x:c r="A71" s="135"/>
      <x:c r="B71" s="135" t="str">
        <x:f>IFERROR(VLOOKUP(A71,'상품 손익'!$A$5:$N$104,2,FALSE),"")</x:f>
      </x:c>
      <x:c r="C71" s="147"/>
      <x:c r="D71" s="147"/>
      <x:c r="E71" s="147"/>
      <x:c r="F71" s="148" t="str">
        <x:f>IF(A71="","",C71+D71-E71)</x:f>
      </x:c>
      <x:c r="G71" s="159" t="str">
        <x:f>IFERROR(VLOOKUP(A71,'상품 손익'!$A$5:$N$104,7,FALSE),0)</x:f>
      </x:c>
      <x:c r="H71" s="159" t="n">
        <x:f>IFERROR(VLOOKUP(A71,'상품 손익'!$A$5:$N$104,13,FALSE),0)</x:f>
        <x:v>0</x:v>
      </x:c>
      <x:c r="I71" s="159" t="n">
        <x:f>IF(A71="",0,E71*G71)</x:f>
        <x:v>0</x:v>
      </x:c>
      <x:c r="J71" s="159" t="n">
        <x:f>IF(A71="",0,E71*H71)</x:f>
        <x:v>0</x:v>
      </x:c>
    </x:row>
    <x:row r="72">
      <x:c r="A72" s="135"/>
      <x:c r="B72" s="135" t="str">
        <x:f>IFERROR(VLOOKUP(A72,'상품 손익'!$A$5:$N$104,2,FALSE),"")</x:f>
      </x:c>
      <x:c r="C72" s="147"/>
      <x:c r="D72" s="147"/>
      <x:c r="E72" s="147"/>
      <x:c r="F72" s="148" t="str">
        <x:f>IF(A72="","",C72+D72-E72)</x:f>
      </x:c>
      <x:c r="G72" s="159" t="str">
        <x:f>IFERROR(VLOOKUP(A72,'상품 손익'!$A$5:$N$104,7,FALSE),0)</x:f>
      </x:c>
      <x:c r="H72" s="159" t="n">
        <x:f>IFERROR(VLOOKUP(A72,'상품 손익'!$A$5:$N$104,13,FALSE),0)</x:f>
        <x:v>0</x:v>
      </x:c>
      <x:c r="I72" s="159" t="n">
        <x:f>IF(A72="",0,E72*G72)</x:f>
        <x:v>0</x:v>
      </x:c>
      <x:c r="J72" s="159" t="n">
        <x:f>IF(A72="",0,E72*H72)</x:f>
        <x:v>0</x:v>
      </x:c>
    </x:row>
    <x:row r="73">
      <x:c r="A73" s="135"/>
      <x:c r="B73" s="135" t="str">
        <x:f>IFERROR(VLOOKUP(A73,'상품 손익'!$A$5:$N$104,2,FALSE),"")</x:f>
      </x:c>
      <x:c r="C73" s="147"/>
      <x:c r="D73" s="147"/>
      <x:c r="E73" s="147"/>
      <x:c r="F73" s="148" t="str">
        <x:f>IF(A73="","",C73+D73-E73)</x:f>
      </x:c>
      <x:c r="G73" s="159" t="str">
        <x:f>IFERROR(VLOOKUP(A73,'상품 손익'!$A$5:$N$104,7,FALSE),0)</x:f>
      </x:c>
      <x:c r="H73" s="159" t="n">
        <x:f>IFERROR(VLOOKUP(A73,'상품 손익'!$A$5:$N$104,13,FALSE),0)</x:f>
        <x:v>0</x:v>
      </x:c>
      <x:c r="I73" s="159" t="n">
        <x:f>IF(A73="",0,E73*G73)</x:f>
        <x:v>0</x:v>
      </x:c>
      <x:c r="J73" s="159" t="n">
        <x:f>IF(A73="",0,E73*H73)</x:f>
        <x:v>0</x:v>
      </x:c>
    </x:row>
    <x:row r="74">
      <x:c r="A74" s="135"/>
      <x:c r="B74" s="135" t="str">
        <x:f>IFERROR(VLOOKUP(A74,'상품 손익'!$A$5:$N$104,2,FALSE),"")</x:f>
      </x:c>
      <x:c r="C74" s="147"/>
      <x:c r="D74" s="147"/>
      <x:c r="E74" s="147"/>
      <x:c r="F74" s="148" t="str">
        <x:f>IF(A74="","",C74+D74-E74)</x:f>
      </x:c>
      <x:c r="G74" s="159" t="str">
        <x:f>IFERROR(VLOOKUP(A74,'상품 손익'!$A$5:$N$104,7,FALSE),0)</x:f>
      </x:c>
      <x:c r="H74" s="159" t="n">
        <x:f>IFERROR(VLOOKUP(A74,'상품 손익'!$A$5:$N$104,13,FALSE),0)</x:f>
        <x:v>0</x:v>
      </x:c>
      <x:c r="I74" s="159" t="n">
        <x:f>IF(A74="",0,E74*G74)</x:f>
        <x:v>0</x:v>
      </x:c>
      <x:c r="J74" s="159" t="n">
        <x:f>IF(A74="",0,E74*H74)</x:f>
        <x:v>0</x:v>
      </x:c>
    </x:row>
    <x:row r="75">
      <x:c r="A75" s="135"/>
      <x:c r="B75" s="135" t="str">
        <x:f>IFERROR(VLOOKUP(A75,'상품 손익'!$A$5:$N$104,2,FALSE),"")</x:f>
      </x:c>
      <x:c r="C75" s="147"/>
      <x:c r="D75" s="147"/>
      <x:c r="E75" s="147"/>
      <x:c r="F75" s="148" t="str">
        <x:f>IF(A75="","",C75+D75-E75)</x:f>
      </x:c>
      <x:c r="G75" s="159" t="str">
        <x:f>IFERROR(VLOOKUP(A75,'상품 손익'!$A$5:$N$104,7,FALSE),0)</x:f>
      </x:c>
      <x:c r="H75" s="159" t="n">
        <x:f>IFERROR(VLOOKUP(A75,'상품 손익'!$A$5:$N$104,13,FALSE),0)</x:f>
        <x:v>0</x:v>
      </x:c>
      <x:c r="I75" s="159" t="n">
        <x:f>IF(A75="",0,E75*G75)</x:f>
        <x:v>0</x:v>
      </x:c>
      <x:c r="J75" s="159" t="n">
        <x:f>IF(A75="",0,E75*H75)</x:f>
        <x:v>0</x:v>
      </x:c>
    </x:row>
    <x:row r="76">
      <x:c r="A76" s="135"/>
      <x:c r="B76" s="135" t="str">
        <x:f>IFERROR(VLOOKUP(A76,'상품 손익'!$A$5:$N$104,2,FALSE),"")</x:f>
      </x:c>
      <x:c r="C76" s="147"/>
      <x:c r="D76" s="147"/>
      <x:c r="E76" s="147"/>
      <x:c r="F76" s="148" t="str">
        <x:f>IF(A76="","",C76+D76-E76)</x:f>
      </x:c>
      <x:c r="G76" s="159" t="str">
        <x:f>IFERROR(VLOOKUP(A76,'상품 손익'!$A$5:$N$104,7,FALSE),0)</x:f>
      </x:c>
      <x:c r="H76" s="159" t="n">
        <x:f>IFERROR(VLOOKUP(A76,'상품 손익'!$A$5:$N$104,13,FALSE),0)</x:f>
        <x:v>0</x:v>
      </x:c>
      <x:c r="I76" s="159" t="n">
        <x:f>IF(A76="",0,E76*G76)</x:f>
        <x:v>0</x:v>
      </x:c>
      <x:c r="J76" s="159" t="n">
        <x:f>IF(A76="",0,E76*H76)</x:f>
        <x:v>0</x:v>
      </x:c>
    </x:row>
    <x:row r="77">
      <x:c r="A77" s="135"/>
      <x:c r="B77" s="135" t="str">
        <x:f>IFERROR(VLOOKUP(A77,'상품 손익'!$A$5:$N$104,2,FALSE),"")</x:f>
      </x:c>
      <x:c r="C77" s="147"/>
      <x:c r="D77" s="147"/>
      <x:c r="E77" s="147"/>
      <x:c r="F77" s="148" t="str">
        <x:f>IF(A77="","",C77+D77-E77)</x:f>
      </x:c>
      <x:c r="G77" s="159" t="str">
        <x:f>IFERROR(VLOOKUP(A77,'상품 손익'!$A$5:$N$104,7,FALSE),0)</x:f>
      </x:c>
      <x:c r="H77" s="159" t="n">
        <x:f>IFERROR(VLOOKUP(A77,'상품 손익'!$A$5:$N$104,13,FALSE),0)</x:f>
        <x:v>0</x:v>
      </x:c>
      <x:c r="I77" s="159" t="n">
        <x:f>IF(A77="",0,E77*G77)</x:f>
        <x:v>0</x:v>
      </x:c>
      <x:c r="J77" s="159" t="n">
        <x:f>IF(A77="",0,E77*H77)</x:f>
        <x:v>0</x:v>
      </x:c>
    </x:row>
    <x:row r="78">
      <x:c r="A78" s="135"/>
      <x:c r="B78" s="135" t="str">
        <x:f>IFERROR(VLOOKUP(A78,'상품 손익'!$A$5:$N$104,2,FALSE),"")</x:f>
      </x:c>
      <x:c r="C78" s="147"/>
      <x:c r="D78" s="147"/>
      <x:c r="E78" s="147"/>
      <x:c r="F78" s="148" t="str">
        <x:f>IF(A78="","",C78+D78-E78)</x:f>
      </x:c>
      <x:c r="G78" s="159" t="str">
        <x:f>IFERROR(VLOOKUP(A78,'상품 손익'!$A$5:$N$104,7,FALSE),0)</x:f>
      </x:c>
      <x:c r="H78" s="159" t="n">
        <x:f>IFERROR(VLOOKUP(A78,'상품 손익'!$A$5:$N$104,13,FALSE),0)</x:f>
        <x:v>0</x:v>
      </x:c>
      <x:c r="I78" s="159" t="n">
        <x:f>IF(A78="",0,E78*G78)</x:f>
        <x:v>0</x:v>
      </x:c>
      <x:c r="J78" s="159" t="n">
        <x:f>IF(A78="",0,E78*H78)</x:f>
        <x:v>0</x:v>
      </x:c>
    </x:row>
    <x:row r="79">
      <x:c r="A79" s="135"/>
      <x:c r="B79" s="135" t="str">
        <x:f>IFERROR(VLOOKUP(A79,'상품 손익'!$A$5:$N$104,2,FALSE),"")</x:f>
      </x:c>
      <x:c r="C79" s="147"/>
      <x:c r="D79" s="147"/>
      <x:c r="E79" s="147"/>
      <x:c r="F79" s="148" t="str">
        <x:f>IF(A79="","",C79+D79-E79)</x:f>
      </x:c>
      <x:c r="G79" s="159" t="str">
        <x:f>IFERROR(VLOOKUP(A79,'상품 손익'!$A$5:$N$104,7,FALSE),0)</x:f>
      </x:c>
      <x:c r="H79" s="159" t="n">
        <x:f>IFERROR(VLOOKUP(A79,'상품 손익'!$A$5:$N$104,13,FALSE),0)</x:f>
        <x:v>0</x:v>
      </x:c>
      <x:c r="I79" s="159" t="n">
        <x:f>IF(A79="",0,E79*G79)</x:f>
        <x:v>0</x:v>
      </x:c>
      <x:c r="J79" s="159" t="n">
        <x:f>IF(A79="",0,E79*H79)</x:f>
        <x:v>0</x:v>
      </x:c>
    </x:row>
    <x:row r="80">
      <x:c r="A80" s="135"/>
      <x:c r="B80" s="135" t="str">
        <x:f>IFERROR(VLOOKUP(A80,'상품 손익'!$A$5:$N$104,2,FALSE),"")</x:f>
      </x:c>
      <x:c r="C80" s="147"/>
      <x:c r="D80" s="147"/>
      <x:c r="E80" s="147"/>
      <x:c r="F80" s="148" t="str">
        <x:f>IF(A80="","",C80+D80-E80)</x:f>
      </x:c>
      <x:c r="G80" s="159" t="str">
        <x:f>IFERROR(VLOOKUP(A80,'상품 손익'!$A$5:$N$104,7,FALSE),0)</x:f>
      </x:c>
      <x:c r="H80" s="159" t="n">
        <x:f>IFERROR(VLOOKUP(A80,'상품 손익'!$A$5:$N$104,13,FALSE),0)</x:f>
        <x:v>0</x:v>
      </x:c>
      <x:c r="I80" s="159" t="n">
        <x:f>IF(A80="",0,E80*G80)</x:f>
        <x:v>0</x:v>
      </x:c>
      <x:c r="J80" s="159" t="n">
        <x:f>IF(A80="",0,E80*H80)</x:f>
        <x:v>0</x:v>
      </x:c>
    </x:row>
    <x:row r="81">
      <x:c r="A81" s="135"/>
      <x:c r="B81" s="135" t="str">
        <x:f>IFERROR(VLOOKUP(A81,'상품 손익'!$A$5:$N$104,2,FALSE),"")</x:f>
      </x:c>
      <x:c r="C81" s="147"/>
      <x:c r="D81" s="147"/>
      <x:c r="E81" s="147"/>
      <x:c r="F81" s="148" t="str">
        <x:f>IF(A81="","",C81+D81-E81)</x:f>
      </x:c>
      <x:c r="G81" s="159" t="str">
        <x:f>IFERROR(VLOOKUP(A81,'상품 손익'!$A$5:$N$104,7,FALSE),0)</x:f>
      </x:c>
      <x:c r="H81" s="159" t="n">
        <x:f>IFERROR(VLOOKUP(A81,'상품 손익'!$A$5:$N$104,13,FALSE),0)</x:f>
        <x:v>0</x:v>
      </x:c>
      <x:c r="I81" s="159" t="n">
        <x:f>IF(A81="",0,E81*G81)</x:f>
        <x:v>0</x:v>
      </x:c>
      <x:c r="J81" s="159" t="n">
        <x:f>IF(A81="",0,E81*H81)</x:f>
        <x:v>0</x:v>
      </x:c>
    </x:row>
    <x:row r="82">
      <x:c r="A82" s="135"/>
      <x:c r="B82" s="135" t="str">
        <x:f>IFERROR(VLOOKUP(A82,'상품 손익'!$A$5:$N$104,2,FALSE),"")</x:f>
      </x:c>
      <x:c r="C82" s="147"/>
      <x:c r="D82" s="147"/>
      <x:c r="E82" s="147"/>
      <x:c r="F82" s="148" t="str">
        <x:f>IF(A82="","",C82+D82-E82)</x:f>
      </x:c>
      <x:c r="G82" s="159" t="str">
        <x:f>IFERROR(VLOOKUP(A82,'상품 손익'!$A$5:$N$104,7,FALSE),0)</x:f>
      </x:c>
      <x:c r="H82" s="159" t="n">
        <x:f>IFERROR(VLOOKUP(A82,'상품 손익'!$A$5:$N$104,13,FALSE),0)</x:f>
        <x:v>0</x:v>
      </x:c>
      <x:c r="I82" s="159" t="n">
        <x:f>IF(A82="",0,E82*G82)</x:f>
        <x:v>0</x:v>
      </x:c>
      <x:c r="J82" s="159" t="n">
        <x:f>IF(A82="",0,E82*H82)</x:f>
        <x:v>0</x:v>
      </x:c>
    </x:row>
    <x:row r="83">
      <x:c r="A83" s="135"/>
      <x:c r="B83" s="135" t="str">
        <x:f>IFERROR(VLOOKUP(A83,'상품 손익'!$A$5:$N$104,2,FALSE),"")</x:f>
      </x:c>
      <x:c r="C83" s="147"/>
      <x:c r="D83" s="147"/>
      <x:c r="E83" s="147"/>
      <x:c r="F83" s="148" t="str">
        <x:f>IF(A83="","",C83+D83-E83)</x:f>
      </x:c>
      <x:c r="G83" s="159" t="str">
        <x:f>IFERROR(VLOOKUP(A83,'상품 손익'!$A$5:$N$104,7,FALSE),0)</x:f>
      </x:c>
      <x:c r="H83" s="159" t="n">
        <x:f>IFERROR(VLOOKUP(A83,'상품 손익'!$A$5:$N$104,13,FALSE),0)</x:f>
        <x:v>0</x:v>
      </x:c>
      <x:c r="I83" s="159" t="n">
        <x:f>IF(A83="",0,E83*G83)</x:f>
        <x:v>0</x:v>
      </x:c>
      <x:c r="J83" s="159" t="n">
        <x:f>IF(A83="",0,E83*H83)</x:f>
        <x:v>0</x:v>
      </x:c>
    </x:row>
    <x:row r="84">
      <x:c r="A84" s="135"/>
      <x:c r="B84" s="135" t="str">
        <x:f>IFERROR(VLOOKUP(A84,'상품 손익'!$A$5:$N$104,2,FALSE),"")</x:f>
      </x:c>
      <x:c r="C84" s="147"/>
      <x:c r="D84" s="147"/>
      <x:c r="E84" s="147"/>
      <x:c r="F84" s="148" t="str">
        <x:f>IF(A84="","",C84+D84-E84)</x:f>
      </x:c>
      <x:c r="G84" s="159" t="str">
        <x:f>IFERROR(VLOOKUP(A84,'상품 손익'!$A$5:$N$104,7,FALSE),0)</x:f>
      </x:c>
      <x:c r="H84" s="159" t="n">
        <x:f>IFERROR(VLOOKUP(A84,'상품 손익'!$A$5:$N$104,13,FALSE),0)</x:f>
        <x:v>0</x:v>
      </x:c>
      <x:c r="I84" s="159" t="n">
        <x:f>IF(A84="",0,E84*G84)</x:f>
        <x:v>0</x:v>
      </x:c>
      <x:c r="J84" s="159" t="n">
        <x:f>IF(A84="",0,E84*H84)</x:f>
        <x:v>0</x:v>
      </x:c>
    </x:row>
    <x:row r="85">
      <x:c r="A85" s="135"/>
      <x:c r="B85" s="135" t="str">
        <x:f>IFERROR(VLOOKUP(A85,'상품 손익'!$A$5:$N$104,2,FALSE),"")</x:f>
      </x:c>
      <x:c r="C85" s="147"/>
      <x:c r="D85" s="147"/>
      <x:c r="E85" s="147"/>
      <x:c r="F85" s="148" t="str">
        <x:f>IF(A85="","",C85+D85-E85)</x:f>
      </x:c>
      <x:c r="G85" s="159" t="str">
        <x:f>IFERROR(VLOOKUP(A85,'상품 손익'!$A$5:$N$104,7,FALSE),0)</x:f>
      </x:c>
      <x:c r="H85" s="159" t="n">
        <x:f>IFERROR(VLOOKUP(A85,'상품 손익'!$A$5:$N$104,13,FALSE),0)</x:f>
        <x:v>0</x:v>
      </x:c>
      <x:c r="I85" s="159" t="n">
        <x:f>IF(A85="",0,E85*G85)</x:f>
        <x:v>0</x:v>
      </x:c>
      <x:c r="J85" s="159" t="n">
        <x:f>IF(A85="",0,E85*H85)</x:f>
        <x:v>0</x:v>
      </x:c>
    </x:row>
    <x:row r="86">
      <x:c r="A86" s="135"/>
      <x:c r="B86" s="135" t="str">
        <x:f>IFERROR(VLOOKUP(A86,'상품 손익'!$A$5:$N$104,2,FALSE),"")</x:f>
      </x:c>
      <x:c r="C86" s="147"/>
      <x:c r="D86" s="147"/>
      <x:c r="E86" s="147"/>
      <x:c r="F86" s="148" t="str">
        <x:f>IF(A86="","",C86+D86-E86)</x:f>
      </x:c>
      <x:c r="G86" s="159" t="str">
        <x:f>IFERROR(VLOOKUP(A86,'상품 손익'!$A$5:$N$104,7,FALSE),0)</x:f>
      </x:c>
      <x:c r="H86" s="159" t="n">
        <x:f>IFERROR(VLOOKUP(A86,'상품 손익'!$A$5:$N$104,13,FALSE),0)</x:f>
        <x:v>0</x:v>
      </x:c>
      <x:c r="I86" s="159" t="n">
        <x:f>IF(A86="",0,E86*G86)</x:f>
        <x:v>0</x:v>
      </x:c>
      <x:c r="J86" s="159" t="n">
        <x:f>IF(A86="",0,E86*H86)</x:f>
        <x:v>0</x:v>
      </x:c>
    </x:row>
    <x:row r="87">
      <x:c r="A87" s="135"/>
      <x:c r="B87" s="135" t="str">
        <x:f>IFERROR(VLOOKUP(A87,'상품 손익'!$A$5:$N$104,2,FALSE),"")</x:f>
      </x:c>
      <x:c r="C87" s="147"/>
      <x:c r="D87" s="147"/>
      <x:c r="E87" s="147"/>
      <x:c r="F87" s="148" t="str">
        <x:f>IF(A87="","",C87+D87-E87)</x:f>
      </x:c>
      <x:c r="G87" s="159" t="str">
        <x:f>IFERROR(VLOOKUP(A87,'상품 손익'!$A$5:$N$104,7,FALSE),0)</x:f>
      </x:c>
      <x:c r="H87" s="159" t="n">
        <x:f>IFERROR(VLOOKUP(A87,'상품 손익'!$A$5:$N$104,13,FALSE),0)</x:f>
        <x:v>0</x:v>
      </x:c>
      <x:c r="I87" s="159" t="n">
        <x:f>IF(A87="",0,E87*G87)</x:f>
        <x:v>0</x:v>
      </x:c>
      <x:c r="J87" s="159" t="n">
        <x:f>IF(A87="",0,E87*H87)</x:f>
        <x:v>0</x:v>
      </x:c>
    </x:row>
    <x:row r="88">
      <x:c r="A88" s="135"/>
      <x:c r="B88" s="135" t="str">
        <x:f>IFERROR(VLOOKUP(A88,'상품 손익'!$A$5:$N$104,2,FALSE),"")</x:f>
      </x:c>
      <x:c r="C88" s="147"/>
      <x:c r="D88" s="147"/>
      <x:c r="E88" s="147"/>
      <x:c r="F88" s="148" t="str">
        <x:f>IF(A88="","",C88+D88-E88)</x:f>
      </x:c>
      <x:c r="G88" s="159" t="str">
        <x:f>IFERROR(VLOOKUP(A88,'상품 손익'!$A$5:$N$104,7,FALSE),0)</x:f>
      </x:c>
      <x:c r="H88" s="159" t="n">
        <x:f>IFERROR(VLOOKUP(A88,'상품 손익'!$A$5:$N$104,13,FALSE),0)</x:f>
        <x:v>0</x:v>
      </x:c>
      <x:c r="I88" s="159" t="n">
        <x:f>IF(A88="",0,E88*G88)</x:f>
        <x:v>0</x:v>
      </x:c>
      <x:c r="J88" s="159" t="n">
        <x:f>IF(A88="",0,E88*H88)</x:f>
        <x:v>0</x:v>
      </x:c>
    </x:row>
    <x:row r="89">
      <x:c r="A89" s="135"/>
      <x:c r="B89" s="135" t="str">
        <x:f>IFERROR(VLOOKUP(A89,'상품 손익'!$A$5:$N$104,2,FALSE),"")</x:f>
      </x:c>
      <x:c r="C89" s="147"/>
      <x:c r="D89" s="147"/>
      <x:c r="E89" s="147"/>
      <x:c r="F89" s="148" t="str">
        <x:f>IF(A89="","",C89+D89-E89)</x:f>
      </x:c>
      <x:c r="G89" s="159" t="str">
        <x:f>IFERROR(VLOOKUP(A89,'상품 손익'!$A$5:$N$104,7,FALSE),0)</x:f>
      </x:c>
      <x:c r="H89" s="159" t="n">
        <x:f>IFERROR(VLOOKUP(A89,'상품 손익'!$A$5:$N$104,13,FALSE),0)</x:f>
        <x:v>0</x:v>
      </x:c>
      <x:c r="I89" s="159" t="n">
        <x:f>IF(A89="",0,E89*G89)</x:f>
        <x:v>0</x:v>
      </x:c>
      <x:c r="J89" s="159" t="n">
        <x:f>IF(A89="",0,E89*H89)</x:f>
        <x:v>0</x:v>
      </x:c>
    </x:row>
    <x:row r="90">
      <x:c r="A90" s="135"/>
      <x:c r="B90" s="135" t="str">
        <x:f>IFERROR(VLOOKUP(A90,'상품 손익'!$A$5:$N$104,2,FALSE),"")</x:f>
      </x:c>
      <x:c r="C90" s="147"/>
      <x:c r="D90" s="147"/>
      <x:c r="E90" s="147"/>
      <x:c r="F90" s="148" t="str">
        <x:f>IF(A90="","",C90+D90-E90)</x:f>
      </x:c>
      <x:c r="G90" s="159" t="str">
        <x:f>IFERROR(VLOOKUP(A90,'상품 손익'!$A$5:$N$104,7,FALSE),0)</x:f>
      </x:c>
      <x:c r="H90" s="159" t="n">
        <x:f>IFERROR(VLOOKUP(A90,'상품 손익'!$A$5:$N$104,13,FALSE),0)</x:f>
        <x:v>0</x:v>
      </x:c>
      <x:c r="I90" s="159" t="n">
        <x:f>IF(A90="",0,E90*G90)</x:f>
        <x:v>0</x:v>
      </x:c>
      <x:c r="J90" s="159" t="n">
        <x:f>IF(A90="",0,E90*H90)</x:f>
        <x:v>0</x:v>
      </x:c>
    </x:row>
    <x:row r="91">
      <x:c r="A91" s="135"/>
      <x:c r="B91" s="135" t="str">
        <x:f>IFERROR(VLOOKUP(A91,'상품 손익'!$A$5:$N$104,2,FALSE),"")</x:f>
      </x:c>
      <x:c r="C91" s="147"/>
      <x:c r="D91" s="147"/>
      <x:c r="E91" s="147"/>
      <x:c r="F91" s="148" t="str">
        <x:f>IF(A91="","",C91+D91-E91)</x:f>
      </x:c>
      <x:c r="G91" s="159" t="str">
        <x:f>IFERROR(VLOOKUP(A91,'상품 손익'!$A$5:$N$104,7,FALSE),0)</x:f>
      </x:c>
      <x:c r="H91" s="159" t="n">
        <x:f>IFERROR(VLOOKUP(A91,'상품 손익'!$A$5:$N$104,13,FALSE),0)</x:f>
        <x:v>0</x:v>
      </x:c>
      <x:c r="I91" s="159" t="n">
        <x:f>IF(A91="",0,E91*G91)</x:f>
        <x:v>0</x:v>
      </x:c>
      <x:c r="J91" s="159" t="n">
        <x:f>IF(A91="",0,E91*H91)</x:f>
        <x:v>0</x:v>
      </x:c>
    </x:row>
    <x:row r="92">
      <x:c r="A92" s="135"/>
      <x:c r="B92" s="135" t="str">
        <x:f>IFERROR(VLOOKUP(A92,'상품 손익'!$A$5:$N$104,2,FALSE),"")</x:f>
      </x:c>
      <x:c r="C92" s="147"/>
      <x:c r="D92" s="147"/>
      <x:c r="E92" s="147"/>
      <x:c r="F92" s="148" t="str">
        <x:f>IF(A92="","",C92+D92-E92)</x:f>
      </x:c>
      <x:c r="G92" s="159" t="str">
        <x:f>IFERROR(VLOOKUP(A92,'상품 손익'!$A$5:$N$104,7,FALSE),0)</x:f>
      </x:c>
      <x:c r="H92" s="159" t="n">
        <x:f>IFERROR(VLOOKUP(A92,'상품 손익'!$A$5:$N$104,13,FALSE),0)</x:f>
        <x:v>0</x:v>
      </x:c>
      <x:c r="I92" s="159" t="n">
        <x:f>IF(A92="",0,E92*G92)</x:f>
        <x:v>0</x:v>
      </x:c>
      <x:c r="J92" s="159" t="n">
        <x:f>IF(A92="",0,E92*H92)</x:f>
        <x:v>0</x:v>
      </x:c>
    </x:row>
    <x:row r="93">
      <x:c r="A93" s="135"/>
      <x:c r="B93" s="135" t="str">
        <x:f>IFERROR(VLOOKUP(A93,'상품 손익'!$A$5:$N$104,2,FALSE),"")</x:f>
      </x:c>
      <x:c r="C93" s="147"/>
      <x:c r="D93" s="147"/>
      <x:c r="E93" s="147"/>
      <x:c r="F93" s="148" t="str">
        <x:f>IF(A93="","",C93+D93-E93)</x:f>
      </x:c>
      <x:c r="G93" s="159" t="str">
        <x:f>IFERROR(VLOOKUP(A93,'상품 손익'!$A$5:$N$104,7,FALSE),0)</x:f>
      </x:c>
      <x:c r="H93" s="159" t="n">
        <x:f>IFERROR(VLOOKUP(A93,'상품 손익'!$A$5:$N$104,13,FALSE),0)</x:f>
        <x:v>0</x:v>
      </x:c>
      <x:c r="I93" s="159" t="n">
        <x:f>IF(A93="",0,E93*G93)</x:f>
        <x:v>0</x:v>
      </x:c>
      <x:c r="J93" s="159" t="n">
        <x:f>IF(A93="",0,E93*H93)</x:f>
        <x:v>0</x:v>
      </x:c>
    </x:row>
    <x:row r="94">
      <x:c r="A94" s="135"/>
      <x:c r="B94" s="135" t="str">
        <x:f>IFERROR(VLOOKUP(A94,'상품 손익'!$A$5:$N$104,2,FALSE),"")</x:f>
      </x:c>
      <x:c r="C94" s="147"/>
      <x:c r="D94" s="147"/>
      <x:c r="E94" s="147"/>
      <x:c r="F94" s="148" t="str">
        <x:f>IF(A94="","",C94+D94-E94)</x:f>
      </x:c>
      <x:c r="G94" s="159" t="str">
        <x:f>IFERROR(VLOOKUP(A94,'상품 손익'!$A$5:$N$104,7,FALSE),0)</x:f>
      </x:c>
      <x:c r="H94" s="159" t="n">
        <x:f>IFERROR(VLOOKUP(A94,'상품 손익'!$A$5:$N$104,13,FALSE),0)</x:f>
        <x:v>0</x:v>
      </x:c>
      <x:c r="I94" s="159" t="n">
        <x:f>IF(A94="",0,E94*G94)</x:f>
        <x:v>0</x:v>
      </x:c>
      <x:c r="J94" s="159" t="n">
        <x:f>IF(A94="",0,E94*H94)</x:f>
        <x:v>0</x:v>
      </x:c>
    </x:row>
    <x:row r="95">
      <x:c r="A95" s="135"/>
      <x:c r="B95" s="135" t="str">
        <x:f>IFERROR(VLOOKUP(A95,'상품 손익'!$A$5:$N$104,2,FALSE),"")</x:f>
      </x:c>
      <x:c r="C95" s="147"/>
      <x:c r="D95" s="147"/>
      <x:c r="E95" s="147"/>
      <x:c r="F95" s="148" t="str">
        <x:f>IF(A95="","",C95+D95-E95)</x:f>
      </x:c>
      <x:c r="G95" s="159" t="str">
        <x:f>IFERROR(VLOOKUP(A95,'상품 손익'!$A$5:$N$104,7,FALSE),0)</x:f>
      </x:c>
      <x:c r="H95" s="159" t="n">
        <x:f>IFERROR(VLOOKUP(A95,'상품 손익'!$A$5:$N$104,13,FALSE),0)</x:f>
        <x:v>0</x:v>
      </x:c>
      <x:c r="I95" s="159" t="n">
        <x:f>IF(A95="",0,E95*G95)</x:f>
        <x:v>0</x:v>
      </x:c>
      <x:c r="J95" s="159" t="n">
        <x:f>IF(A95="",0,E95*H95)</x:f>
        <x:v>0</x:v>
      </x:c>
    </x:row>
    <x:row r="96">
      <x:c r="A96" s="135"/>
      <x:c r="B96" s="135" t="str">
        <x:f>IFERROR(VLOOKUP(A96,'상품 손익'!$A$5:$N$104,2,FALSE),"")</x:f>
      </x:c>
      <x:c r="C96" s="147"/>
      <x:c r="D96" s="147"/>
      <x:c r="E96" s="147"/>
      <x:c r="F96" s="148" t="str">
        <x:f>IF(A96="","",C96+D96-E96)</x:f>
      </x:c>
      <x:c r="G96" s="159" t="str">
        <x:f>IFERROR(VLOOKUP(A96,'상품 손익'!$A$5:$N$104,7,FALSE),0)</x:f>
      </x:c>
      <x:c r="H96" s="159" t="n">
        <x:f>IFERROR(VLOOKUP(A96,'상품 손익'!$A$5:$N$104,13,FALSE),0)</x:f>
        <x:v>0</x:v>
      </x:c>
      <x:c r="I96" s="159" t="n">
        <x:f>IF(A96="",0,E96*G96)</x:f>
        <x:v>0</x:v>
      </x:c>
      <x:c r="J96" s="159" t="n">
        <x:f>IF(A96="",0,E96*H96)</x:f>
        <x:v>0</x:v>
      </x:c>
    </x:row>
    <x:row r="97">
      <x:c r="A97" s="135"/>
      <x:c r="B97" s="135" t="str">
        <x:f>IFERROR(VLOOKUP(A97,'상품 손익'!$A$5:$N$104,2,FALSE),"")</x:f>
      </x:c>
      <x:c r="C97" s="147"/>
      <x:c r="D97" s="147"/>
      <x:c r="E97" s="147"/>
      <x:c r="F97" s="148" t="str">
        <x:f>IF(A97="","",C97+D97-E97)</x:f>
      </x:c>
      <x:c r="G97" s="159" t="str">
        <x:f>IFERROR(VLOOKUP(A97,'상품 손익'!$A$5:$N$104,7,FALSE),0)</x:f>
      </x:c>
      <x:c r="H97" s="159" t="n">
        <x:f>IFERROR(VLOOKUP(A97,'상품 손익'!$A$5:$N$104,13,FALSE),0)</x:f>
        <x:v>0</x:v>
      </x:c>
      <x:c r="I97" s="159" t="n">
        <x:f>IF(A97="",0,E97*G97)</x:f>
        <x:v>0</x:v>
      </x:c>
      <x:c r="J97" s="159" t="n">
        <x:f>IF(A97="",0,E97*H97)</x:f>
        <x:v>0</x:v>
      </x:c>
    </x:row>
    <x:row r="98">
      <x:c r="A98" s="135"/>
      <x:c r="B98" s="135" t="str">
        <x:f>IFERROR(VLOOKUP(A98,'상품 손익'!$A$5:$N$104,2,FALSE),"")</x:f>
      </x:c>
      <x:c r="C98" s="147"/>
      <x:c r="D98" s="147"/>
      <x:c r="E98" s="147"/>
      <x:c r="F98" s="148" t="str">
        <x:f>IF(A98="","",C98+D98-E98)</x:f>
      </x:c>
      <x:c r="G98" s="159" t="str">
        <x:f>IFERROR(VLOOKUP(A98,'상품 손익'!$A$5:$N$104,7,FALSE),0)</x:f>
      </x:c>
      <x:c r="H98" s="159" t="n">
        <x:f>IFERROR(VLOOKUP(A98,'상품 손익'!$A$5:$N$104,13,FALSE),0)</x:f>
        <x:v>0</x:v>
      </x:c>
      <x:c r="I98" s="159" t="n">
        <x:f>IF(A98="",0,E98*G98)</x:f>
        <x:v>0</x:v>
      </x:c>
      <x:c r="J98" s="159" t="n">
        <x:f>IF(A98="",0,E98*H98)</x:f>
        <x:v>0</x:v>
      </x:c>
    </x:row>
    <x:row r="99">
      <x:c r="A99" s="135"/>
      <x:c r="B99" s="135" t="str">
        <x:f>IFERROR(VLOOKUP(A99,'상품 손익'!$A$5:$N$104,2,FALSE),"")</x:f>
      </x:c>
      <x:c r="C99" s="147"/>
      <x:c r="D99" s="147"/>
      <x:c r="E99" s="147"/>
      <x:c r="F99" s="148" t="str">
        <x:f>IF(A99="","",C99+D99-E99)</x:f>
      </x:c>
      <x:c r="G99" s="159" t="str">
        <x:f>IFERROR(VLOOKUP(A99,'상품 손익'!$A$5:$N$104,7,FALSE),0)</x:f>
      </x:c>
      <x:c r="H99" s="159" t="n">
        <x:f>IFERROR(VLOOKUP(A99,'상품 손익'!$A$5:$N$104,13,FALSE),0)</x:f>
        <x:v>0</x:v>
      </x:c>
      <x:c r="I99" s="159" t="n">
        <x:f>IF(A99="",0,E99*G99)</x:f>
        <x:v>0</x:v>
      </x:c>
      <x:c r="J99" s="159" t="n">
        <x:f>IF(A99="",0,E99*H99)</x:f>
        <x:v>0</x:v>
      </x:c>
    </x:row>
    <x:row r="100">
      <x:c r="A100" s="135"/>
      <x:c r="B100" s="135" t="str">
        <x:f>IFERROR(VLOOKUP(A100,'상품 손익'!$A$5:$N$104,2,FALSE),"")</x:f>
      </x:c>
      <x:c r="C100" s="147"/>
      <x:c r="D100" s="147"/>
      <x:c r="E100" s="147"/>
      <x:c r="F100" s="148" t="str">
        <x:f>IF(A100="","",C100+D100-E100)</x:f>
      </x:c>
      <x:c r="G100" s="159" t="str">
        <x:f>IFERROR(VLOOKUP(A100,'상품 손익'!$A$5:$N$104,7,FALSE),0)</x:f>
      </x:c>
      <x:c r="H100" s="159" t="n">
        <x:f>IFERROR(VLOOKUP(A100,'상품 손익'!$A$5:$N$104,13,FALSE),0)</x:f>
        <x:v>0</x:v>
      </x:c>
      <x:c r="I100" s="159" t="n">
        <x:f>IF(A100="",0,E100*G100)</x:f>
        <x:v>0</x:v>
      </x:c>
      <x:c r="J100" s="159" t="n">
        <x:f>IF(A100="",0,E100*H100)</x:f>
        <x:v>0</x:v>
      </x:c>
    </x:row>
    <x:row r="101">
      <x:c r="A101" s="135"/>
      <x:c r="B101" s="135" t="str">
        <x:f>IFERROR(VLOOKUP(A101,'상품 손익'!$A$5:$N$104,2,FALSE),"")</x:f>
      </x:c>
      <x:c r="C101" s="147"/>
      <x:c r="D101" s="147"/>
      <x:c r="E101" s="147"/>
      <x:c r="F101" s="148" t="str">
        <x:f>IF(A101="","",C101+D101-E101)</x:f>
      </x:c>
      <x:c r="G101" s="159" t="str">
        <x:f>IFERROR(VLOOKUP(A101,'상품 손익'!$A$5:$N$104,7,FALSE),0)</x:f>
      </x:c>
      <x:c r="H101" s="159" t="n">
        <x:f>IFERROR(VLOOKUP(A101,'상품 손익'!$A$5:$N$104,13,FALSE),0)</x:f>
        <x:v>0</x:v>
      </x:c>
      <x:c r="I101" s="159" t="n">
        <x:f>IF(A101="",0,E101*G101)</x:f>
        <x:v>0</x:v>
      </x:c>
      <x:c r="J101" s="159" t="n">
        <x:f>IF(A101="",0,E101*H101)</x:f>
        <x:v>0</x:v>
      </x:c>
    </x:row>
    <x:row r="102">
      <x:c r="A102" s="135"/>
      <x:c r="B102" s="135" t="str">
        <x:f>IFERROR(VLOOKUP(A102,'상품 손익'!$A$5:$N$104,2,FALSE),"")</x:f>
      </x:c>
      <x:c r="C102" s="147"/>
      <x:c r="D102" s="147"/>
      <x:c r="E102" s="147"/>
      <x:c r="F102" s="148" t="str">
        <x:f>IF(A102="","",C102+D102-E102)</x:f>
      </x:c>
      <x:c r="G102" s="159" t="str">
        <x:f>IFERROR(VLOOKUP(A102,'상품 손익'!$A$5:$N$104,7,FALSE),0)</x:f>
      </x:c>
      <x:c r="H102" s="159" t="n">
        <x:f>IFERROR(VLOOKUP(A102,'상품 손익'!$A$5:$N$104,13,FALSE),0)</x:f>
        <x:v>0</x:v>
      </x:c>
      <x:c r="I102" s="159" t="n">
        <x:f>IF(A102="",0,E102*G102)</x:f>
        <x:v>0</x:v>
      </x:c>
      <x:c r="J102" s="159" t="n">
        <x:f>IF(A102="",0,E102*H102)</x:f>
        <x:v>0</x:v>
      </x:c>
    </x:row>
    <x:row r="103">
      <x:c r="A103" s="135"/>
      <x:c r="B103" s="135" t="str">
        <x:f>IFERROR(VLOOKUP(A103,'상품 손익'!$A$5:$N$104,2,FALSE),"")</x:f>
      </x:c>
      <x:c r="C103" s="147"/>
      <x:c r="D103" s="147"/>
      <x:c r="E103" s="147"/>
      <x:c r="F103" s="148" t="str">
        <x:f>IF(A103="","",C103+D103-E103)</x:f>
      </x:c>
      <x:c r="G103" s="159" t="str">
        <x:f>IFERROR(VLOOKUP(A103,'상품 손익'!$A$5:$N$104,7,FALSE),0)</x:f>
      </x:c>
      <x:c r="H103" s="159" t="n">
        <x:f>IFERROR(VLOOKUP(A103,'상품 손익'!$A$5:$N$104,13,FALSE),0)</x:f>
        <x:v>0</x:v>
      </x:c>
      <x:c r="I103" s="159" t="n">
        <x:f>IF(A103="",0,E103*G103)</x:f>
        <x:v>0</x:v>
      </x:c>
      <x:c r="J103" s="159" t="n">
        <x:f>IF(A103="",0,E103*H103)</x:f>
        <x:v>0</x:v>
      </x:c>
    </x:row>
    <x:row r="104">
      <x:c r="A104" s="141"/>
      <x:c r="B104" s="141" t="str">
        <x:f>IFERROR(VLOOKUP(A104,'상품 손익'!$A$5:$N$104,2,FALSE),"")</x:f>
      </x:c>
      <x:c r="C104" s="150"/>
      <x:c r="D104" s="150"/>
      <x:c r="E104" s="150"/>
      <x:c r="F104" s="151" t="str">
        <x:f>IF(A104="","",C104+D104-E104)</x:f>
      </x:c>
      <x:c r="G104" s="160" t="str">
        <x:f>IFERROR(VLOOKUP(A104,'상품 손익'!$A$5:$N$104,7,FALSE),0)</x:f>
      </x:c>
      <x:c r="H104" s="160" t="n">
        <x:f>IFERROR(VLOOKUP(A104,'상품 손익'!$A$5:$N$104,13,FALSE),0)</x:f>
        <x:v>0</x:v>
      </x:c>
      <x:c r="I104" s="160" t="n">
        <x:f>IF(A104="",0,E104*G104)</x:f>
        <x:v>0</x:v>
      </x:c>
      <x:c r="J104" s="160" t="n">
        <x:f>IF(A104="",0,E104*H104)</x:f>
        <x:v>0</x:v>
      </x:c>
    </x:row>
  </x:sheetData>
  <x:mergeCells>
    <x:mergeCell ref="A1:J1"/>
    <x:mergeCell ref="A2:J2"/>
    <x:mergeCell ref="L1:M1"/>
  </x:mergeCells>
  <x:conditionalFormatting sqref="F5:F104">
    <x:cfRule type="expression" dxfId="0" priority="1">
      <x:formula>AND($A5&lt;&gt;"",$F5&lt;=5)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15" hidden="0" customWidth="1"/>
    <x:col min="5" max="5" width="11" hidden="0" customWidth="1"/>
    <x:col min="6" max="6" width="12" hidden="0" customWidth="1"/>
    <x:col min="7" max="7" width="13" hidden="0" customWidth="1"/>
    <x:col min="8" max="8" width="12" hidden="0" customWidth="1"/>
    <x:col min="9" max="9" width="13" hidden="0" customWidth="1"/>
    <x:col min="10" max="10" width="11" hidden="0" customWidth="1"/>
    <x:col min="11" max="11" width="11" hidden="0" customWidth="1"/>
    <x:col min="12" max="12" width="14" hidden="0" customWidth="1"/>
    <x:col min="14" max="14" width="17" hidden="0" customWidth="1"/>
    <x:col min="15" max="15" width="14" hidden="0" customWidth="1"/>
  </x:cols>
  <x:sheetData>
    <x:row r="1" ht="30" customHeight="1">
      <x:c r="A1" s="4" t="str">
        <x:v>PHILIA  |  세금 계산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N1" s="164" t="str">
        <x:v>세금 요약</x:v>
      </x:c>
      <x:c r="O1" s="164"/>
    </x:row>
    <x:row r="2" ht="20" customHeight="1">
      <x:c r="A2" s="11" t="str">
        <x:v>기본 가정: 판매가는 부가세 포함 금액 · 종합소득세율은 예상 유효세율을 직접 입력해 시뮬레이션합니다.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N2" s="167" t="str">
        <x:v>총 부가세</x:v>
      </x:c>
      <x:c r="O2" s="206" t="n">
        <x:f>SUMPRODUCT(F5:F104,K5:K104)</x:f>
        <x:v>43363.63636363636</x:v>
      </x:c>
    </x:row>
    <x:row r="3">
      <x:c r="N3" s="167" t="str">
        <x:v>총 종소세(예상)</x:v>
      </x:c>
      <x:c r="O3" s="206" t="n">
        <x:f>SUMPRODUCT(H5:H104,K5:K104)</x:f>
        <x:v>22726.554545454543</x:v>
      </x:c>
    </x:row>
    <x:row r="4" ht="30" customHeight="1">
      <x:c r="A4" s="183" t="str">
        <x:v>SKU</x:v>
      </x:c>
      <x:c r="B4" s="183" t="str">
        <x:v>상품명</x:v>
      </x:c>
      <x:c r="C4" s="32" t="str">
        <x:v>판매가</x:v>
      </x:c>
      <x:c r="D4" s="32" t="str">
        <x:v>세전 영업이익/개</x:v>
      </x:c>
      <x:c r="E4" s="28" t="str">
        <x:v>부가세율</x:v>
      </x:c>
      <x:c r="F4" s="28" t="str">
        <x:v>부가세</x:v>
      </x:c>
      <x:c r="G4" s="28" t="str">
        <x:v>종소세율(예상)</x:v>
      </x:c>
      <x:c r="H4" s="28" t="str">
        <x:v>종소세</x:v>
      </x:c>
      <x:c r="I4" s="32" t="str">
        <x:v>순이익/개</x:v>
      </x:c>
      <x:c r="J4" s="32" t="str">
        <x:v>순이익률</x:v>
      </x:c>
      <x:c r="K4" s="32" t="str">
        <x:v>판매수량</x:v>
      </x:c>
      <x:c r="L4" s="32" t="str">
        <x:v>총 순이익</x:v>
      </x:c>
      <x:c r="N4" s="167" t="str">
        <x:v>총 순이익</x:v>
      </x:c>
      <x:c r="O4" s="175" t="n">
        <x:f>SUM(L5:L104)</x:f>
        <x:v>128783.80909090908</x:v>
      </x:c>
    </x:row>
    <x:row r="5">
      <x:c r="A5" s="135" t="str">
        <x:v>PH26FW-OT01</x:v>
      </x:c>
      <x:c r="B5" t="str">
        <x:f>IFERROR(VLOOKUP(A5,'상품 손익'!$A$5:$N$104,2,FALSE),"")</x:f>
        <x:v>Field Jacket</x:v>
      </x:c>
      <x:c r="C5" s="159" t="n">
        <x:f>IFERROR(VLOOKUP(A5,'상품 손익'!$A$5:$N$104,7,FALSE),0)</x:f>
        <x:v>159000</x:v>
      </x:c>
      <x:c r="D5" s="159" t="n">
        <x:f>IFERROR(VLOOKUP(A5,'상품 손익'!$A$5:$N$104,13,FALSE),0)</x:f>
        <x:v>64958</x:v>
      </x:c>
      <x:c r="E5" s="199" t="n">
        <x:v>0.1</x:v>
      </x:c>
      <x:c r="F5" s="195" t="n">
        <x:f>IF(C5=0,0,C5*E5/(1+E5))</x:f>
        <x:v>14454.545454545454</x:v>
      </x:c>
      <x:c r="G5" s="201" t="n">
        <x:v>0.15</x:v>
      </x:c>
      <x:c r="H5" s="195" t="n">
        <x:f>MAX(0,(D5-F5)*G5)</x:f>
        <x:v>7575.518181818181</x:v>
      </x:c>
      <x:c r="I5" s="159" t="n">
        <x:f>D5-F5-H5</x:f>
        <x:v>42927.93636363636</x:v>
      </x:c>
      <x:c r="J5" s="203" t="n">
        <x:f>IFERROR(I5/C5,0)</x:f>
        <x:v>0.26998702115494566</x:v>
      </x:c>
      <x:c r="K5" s="149" t="n">
        <x:f>IFERROR(VLOOKUP(A5,'재고·판매'!$A$5:$J$104,5,FALSE),0)</x:f>
        <x:v>3</x:v>
      </x:c>
      <x:c r="L5" s="159" t="n">
        <x:f>I5*K5</x:f>
        <x:v>128783.80909090908</x:v>
      </x:c>
      <x:c r="N5" s="168" t="str">
        <x:v>평균 순이익률</x:v>
      </x:c>
      <x:c r="O5" s="209" t="n">
        <x:f>IFERROR(SUM(L5:L104)/SUMPRODUCT(C5:C104,K5:K104),0)</x:f>
        <x:v>0.26998702115494566</x:v>
      </x:c>
    </x:row>
    <x:row r="6">
      <x:c r="A6" s="135"/>
      <x:c r="B6" t="str">
        <x:f>IFERROR(VLOOKUP(A6,'상품 손익'!$A$5:$N$104,2,FALSE),"")</x:f>
      </x:c>
      <x:c r="C6" s="159" t="str">
        <x:f>IFERROR(VLOOKUP(A6,'상품 손익'!$A$5:$N$104,7,FALSE),0)</x:f>
      </x:c>
      <x:c r="D6" s="159" t="n">
        <x:f>IFERROR(VLOOKUP(A6,'상품 손익'!$A$5:$N$104,13,FALSE),0)</x:f>
        <x:v>0</x:v>
      </x:c>
      <x:c r="E6" s="199" t="n">
        <x:v>0.1</x:v>
      </x:c>
      <x:c r="F6" s="195" t="n">
        <x:f>IF(C6=0,0,C6*E6/(1+E6))</x:f>
        <x:v>0</x:v>
      </x:c>
      <x:c r="G6" s="201" t="n">
        <x:v>0.15</x:v>
      </x:c>
      <x:c r="H6" s="195" t="n">
        <x:f>MAX(0,(D6-F6)*G6)</x:f>
        <x:v>0</x:v>
      </x:c>
      <x:c r="I6" s="159" t="n">
        <x:f>D6-F6-H6</x:f>
        <x:v>0</x:v>
      </x:c>
      <x:c r="J6" s="203" t="n">
        <x:f>IFERROR(I6/C6,0)</x:f>
        <x:v>0</x:v>
      </x:c>
      <x:c r="K6" s="149" t="str">
        <x:f>IFERROR(VLOOKUP(A6,'재고·판매'!$A$5:$J$104,5,FALSE),0)</x:f>
      </x:c>
      <x:c r="L6" s="159" t="n">
        <x:f>I6*K6</x:f>
        <x:v>0</x:v>
      </x:c>
    </x:row>
    <x:row r="7">
      <x:c r="A7" s="135"/>
      <x:c r="B7" t="str">
        <x:f>IFERROR(VLOOKUP(A7,'상품 손익'!$A$5:$N$104,2,FALSE),"")</x:f>
      </x:c>
      <x:c r="C7" s="159" t="str">
        <x:f>IFERROR(VLOOKUP(A7,'상품 손익'!$A$5:$N$104,7,FALSE),0)</x:f>
      </x:c>
      <x:c r="D7" s="159" t="n">
        <x:f>IFERROR(VLOOKUP(A7,'상품 손익'!$A$5:$N$104,13,FALSE),0)</x:f>
        <x:v>0</x:v>
      </x:c>
      <x:c r="E7" s="199" t="n">
        <x:v>0.1</x:v>
      </x:c>
      <x:c r="F7" s="195" t="n">
        <x:f>IF(C7=0,0,C7*E7/(1+E7))</x:f>
        <x:v>0</x:v>
      </x:c>
      <x:c r="G7" s="201" t="n">
        <x:v>0.15</x:v>
      </x:c>
      <x:c r="H7" s="195" t="n">
        <x:f>MAX(0,(D7-F7)*G7)</x:f>
        <x:v>0</x:v>
      </x:c>
      <x:c r="I7" s="159" t="n">
        <x:f>D7-F7-H7</x:f>
        <x:v>0</x:v>
      </x:c>
      <x:c r="J7" s="203" t="n">
        <x:f>IFERROR(I7/C7,0)</x:f>
        <x:v>0</x:v>
      </x:c>
      <x:c r="K7" s="149" t="str">
        <x:f>IFERROR(VLOOKUP(A7,'재고·판매'!$A$5:$J$104,5,FALSE),0)</x:f>
      </x:c>
      <x:c r="L7" s="159" t="n">
        <x:f>I7*K7</x:f>
        <x:v>0</x:v>
      </x:c>
    </x:row>
    <x:row r="8">
      <x:c r="A8" s="135"/>
      <x:c r="B8" t="str">
        <x:f>IFERROR(VLOOKUP(A8,'상품 손익'!$A$5:$N$104,2,FALSE),"")</x:f>
      </x:c>
      <x:c r="C8" s="159" t="str">
        <x:f>IFERROR(VLOOKUP(A8,'상품 손익'!$A$5:$N$104,7,FALSE),0)</x:f>
      </x:c>
      <x:c r="D8" s="159" t="n">
        <x:f>IFERROR(VLOOKUP(A8,'상품 손익'!$A$5:$N$104,13,FALSE),0)</x:f>
        <x:v>0</x:v>
      </x:c>
      <x:c r="E8" s="199" t="n">
        <x:v>0.1</x:v>
      </x:c>
      <x:c r="F8" s="195" t="n">
        <x:f>IF(C8=0,0,C8*E8/(1+E8))</x:f>
        <x:v>0</x:v>
      </x:c>
      <x:c r="G8" s="201" t="n">
        <x:v>0.15</x:v>
      </x:c>
      <x:c r="H8" s="195" t="n">
        <x:f>MAX(0,(D8-F8)*G8)</x:f>
        <x:v>0</x:v>
      </x:c>
      <x:c r="I8" s="159" t="n">
        <x:f>D8-F8-H8</x:f>
        <x:v>0</x:v>
      </x:c>
      <x:c r="J8" s="203" t="n">
        <x:f>IFERROR(I8/C8,0)</x:f>
        <x:v>0</x:v>
      </x:c>
      <x:c r="K8" s="149" t="str">
        <x:f>IFERROR(VLOOKUP(A8,'재고·판매'!$A$5:$J$104,5,FALSE),0)</x:f>
      </x:c>
      <x:c r="L8" s="159" t="n">
        <x:f>I8*K8</x:f>
        <x:v>0</x:v>
      </x:c>
    </x:row>
    <x:row r="9">
      <x:c r="A9" s="135"/>
      <x:c r="B9" t="str">
        <x:f>IFERROR(VLOOKUP(A9,'상품 손익'!$A$5:$N$104,2,FALSE),"")</x:f>
      </x:c>
      <x:c r="C9" s="159" t="str">
        <x:f>IFERROR(VLOOKUP(A9,'상품 손익'!$A$5:$N$104,7,FALSE),0)</x:f>
      </x:c>
      <x:c r="D9" s="159" t="n">
        <x:f>IFERROR(VLOOKUP(A9,'상품 손익'!$A$5:$N$104,13,FALSE),0)</x:f>
        <x:v>0</x:v>
      </x:c>
      <x:c r="E9" s="199" t="n">
        <x:v>0.1</x:v>
      </x:c>
      <x:c r="F9" s="195" t="n">
        <x:f>IF(C9=0,0,C9*E9/(1+E9))</x:f>
        <x:v>0</x:v>
      </x:c>
      <x:c r="G9" s="201" t="n">
        <x:v>0.15</x:v>
      </x:c>
      <x:c r="H9" s="195" t="n">
        <x:f>MAX(0,(D9-F9)*G9)</x:f>
        <x:v>0</x:v>
      </x:c>
      <x:c r="I9" s="159" t="n">
        <x:f>D9-F9-H9</x:f>
        <x:v>0</x:v>
      </x:c>
      <x:c r="J9" s="203" t="n">
        <x:f>IFERROR(I9/C9,0)</x:f>
        <x:v>0</x:v>
      </x:c>
      <x:c r="K9" s="149" t="str">
        <x:f>IFERROR(VLOOKUP(A9,'재고·판매'!$A$5:$J$104,5,FALSE),0)</x:f>
      </x:c>
      <x:c r="L9" s="159" t="n">
        <x:f>I9*K9</x:f>
        <x:v>0</x:v>
      </x:c>
    </x:row>
    <x:row r="10">
      <x:c r="A10" s="135"/>
      <x:c r="B10" t="str">
        <x:f>IFERROR(VLOOKUP(A10,'상품 손익'!$A$5:$N$104,2,FALSE),"")</x:f>
      </x:c>
      <x:c r="C10" s="159" t="str">
        <x:f>IFERROR(VLOOKUP(A10,'상품 손익'!$A$5:$N$104,7,FALSE),0)</x:f>
      </x:c>
      <x:c r="D10" s="159" t="n">
        <x:f>IFERROR(VLOOKUP(A10,'상품 손익'!$A$5:$N$104,13,FALSE),0)</x:f>
        <x:v>0</x:v>
      </x:c>
      <x:c r="E10" s="199" t="n">
        <x:v>0.1</x:v>
      </x:c>
      <x:c r="F10" s="195" t="n">
        <x:f>IF(C10=0,0,C10*E10/(1+E10))</x:f>
        <x:v>0</x:v>
      </x:c>
      <x:c r="G10" s="201" t="n">
        <x:v>0.15</x:v>
      </x:c>
      <x:c r="H10" s="195" t="n">
        <x:f>MAX(0,(D10-F10)*G10)</x:f>
        <x:v>0</x:v>
      </x:c>
      <x:c r="I10" s="159" t="n">
        <x:f>D10-F10-H10</x:f>
        <x:v>0</x:v>
      </x:c>
      <x:c r="J10" s="203" t="n">
        <x:f>IFERROR(I10/C10,0)</x:f>
        <x:v>0</x:v>
      </x:c>
      <x:c r="K10" s="149" t="str">
        <x:f>IFERROR(VLOOKUP(A10,'재고·판매'!$A$5:$J$104,5,FALSE),0)</x:f>
      </x:c>
      <x:c r="L10" s="159" t="n">
        <x:f>I10*K10</x:f>
        <x:v>0</x:v>
      </x:c>
    </x:row>
    <x:row r="11">
      <x:c r="A11" s="135"/>
      <x:c r="B11" t="str">
        <x:f>IFERROR(VLOOKUP(A11,'상품 손익'!$A$5:$N$104,2,FALSE),"")</x:f>
      </x:c>
      <x:c r="C11" s="159" t="str">
        <x:f>IFERROR(VLOOKUP(A11,'상품 손익'!$A$5:$N$104,7,FALSE),0)</x:f>
      </x:c>
      <x:c r="D11" s="159" t="n">
        <x:f>IFERROR(VLOOKUP(A11,'상품 손익'!$A$5:$N$104,13,FALSE),0)</x:f>
        <x:v>0</x:v>
      </x:c>
      <x:c r="E11" s="199" t="n">
        <x:v>0.1</x:v>
      </x:c>
      <x:c r="F11" s="195" t="n">
        <x:f>IF(C11=0,0,C11*E11/(1+E11))</x:f>
        <x:v>0</x:v>
      </x:c>
      <x:c r="G11" s="201" t="n">
        <x:v>0.15</x:v>
      </x:c>
      <x:c r="H11" s="195" t="n">
        <x:f>MAX(0,(D11-F11)*G11)</x:f>
        <x:v>0</x:v>
      </x:c>
      <x:c r="I11" s="159" t="n">
        <x:f>D11-F11-H11</x:f>
        <x:v>0</x:v>
      </x:c>
      <x:c r="J11" s="203" t="n">
        <x:f>IFERROR(I11/C11,0)</x:f>
        <x:v>0</x:v>
      </x:c>
      <x:c r="K11" s="149" t="str">
        <x:f>IFERROR(VLOOKUP(A11,'재고·판매'!$A$5:$J$104,5,FALSE),0)</x:f>
      </x:c>
      <x:c r="L11" s="159" t="n">
        <x:f>I11*K11</x:f>
        <x:v>0</x:v>
      </x:c>
    </x:row>
    <x:row r="12">
      <x:c r="A12" s="135"/>
      <x:c r="B12" t="str">
        <x:f>IFERROR(VLOOKUP(A12,'상품 손익'!$A$5:$N$104,2,FALSE),"")</x:f>
      </x:c>
      <x:c r="C12" s="159" t="str">
        <x:f>IFERROR(VLOOKUP(A12,'상품 손익'!$A$5:$N$104,7,FALSE),0)</x:f>
      </x:c>
      <x:c r="D12" s="159" t="n">
        <x:f>IFERROR(VLOOKUP(A12,'상품 손익'!$A$5:$N$104,13,FALSE),0)</x:f>
        <x:v>0</x:v>
      </x:c>
      <x:c r="E12" s="199" t="n">
        <x:v>0.1</x:v>
      </x:c>
      <x:c r="F12" s="195" t="n">
        <x:f>IF(C12=0,0,C12*E12/(1+E12))</x:f>
        <x:v>0</x:v>
      </x:c>
      <x:c r="G12" s="201" t="n">
        <x:v>0.15</x:v>
      </x:c>
      <x:c r="H12" s="195" t="n">
        <x:f>MAX(0,(D12-F12)*G12)</x:f>
        <x:v>0</x:v>
      </x:c>
      <x:c r="I12" s="159" t="n">
        <x:f>D12-F12-H12</x:f>
        <x:v>0</x:v>
      </x:c>
      <x:c r="J12" s="203" t="n">
        <x:f>IFERROR(I12/C12,0)</x:f>
        <x:v>0</x:v>
      </x:c>
      <x:c r="K12" s="149" t="str">
        <x:f>IFERROR(VLOOKUP(A12,'재고·판매'!$A$5:$J$104,5,FALSE),0)</x:f>
      </x:c>
      <x:c r="L12" s="159" t="n">
        <x:f>I12*K12</x:f>
        <x:v>0</x:v>
      </x:c>
    </x:row>
    <x:row r="13">
      <x:c r="A13" s="135"/>
      <x:c r="B13" t="str">
        <x:f>IFERROR(VLOOKUP(A13,'상품 손익'!$A$5:$N$104,2,FALSE),"")</x:f>
      </x:c>
      <x:c r="C13" s="159" t="str">
        <x:f>IFERROR(VLOOKUP(A13,'상품 손익'!$A$5:$N$104,7,FALSE),0)</x:f>
      </x:c>
      <x:c r="D13" s="159" t="n">
        <x:f>IFERROR(VLOOKUP(A13,'상품 손익'!$A$5:$N$104,13,FALSE),0)</x:f>
        <x:v>0</x:v>
      </x:c>
      <x:c r="E13" s="199" t="n">
        <x:v>0.1</x:v>
      </x:c>
      <x:c r="F13" s="195" t="n">
        <x:f>IF(C13=0,0,C13*E13/(1+E13))</x:f>
        <x:v>0</x:v>
      </x:c>
      <x:c r="G13" s="201" t="n">
        <x:v>0.15</x:v>
      </x:c>
      <x:c r="H13" s="195" t="n">
        <x:f>MAX(0,(D13-F13)*G13)</x:f>
        <x:v>0</x:v>
      </x:c>
      <x:c r="I13" s="159" t="n">
        <x:f>D13-F13-H13</x:f>
        <x:v>0</x:v>
      </x:c>
      <x:c r="J13" s="203" t="n">
        <x:f>IFERROR(I13/C13,0)</x:f>
        <x:v>0</x:v>
      </x:c>
      <x:c r="K13" s="149" t="str">
        <x:f>IFERROR(VLOOKUP(A13,'재고·판매'!$A$5:$J$104,5,FALSE),0)</x:f>
      </x:c>
      <x:c r="L13" s="159" t="n">
        <x:f>I13*K13</x:f>
        <x:v>0</x:v>
      </x:c>
    </x:row>
    <x:row r="14">
      <x:c r="A14" s="135"/>
      <x:c r="B14" t="str">
        <x:f>IFERROR(VLOOKUP(A14,'상품 손익'!$A$5:$N$104,2,FALSE),"")</x:f>
      </x:c>
      <x:c r="C14" s="159" t="str">
        <x:f>IFERROR(VLOOKUP(A14,'상품 손익'!$A$5:$N$104,7,FALSE),0)</x:f>
      </x:c>
      <x:c r="D14" s="159" t="n">
        <x:f>IFERROR(VLOOKUP(A14,'상품 손익'!$A$5:$N$104,13,FALSE),0)</x:f>
        <x:v>0</x:v>
      </x:c>
      <x:c r="E14" s="199" t="n">
        <x:v>0.1</x:v>
      </x:c>
      <x:c r="F14" s="195" t="n">
        <x:f>IF(C14=0,0,C14*E14/(1+E14))</x:f>
        <x:v>0</x:v>
      </x:c>
      <x:c r="G14" s="201" t="n">
        <x:v>0.15</x:v>
      </x:c>
      <x:c r="H14" s="195" t="n">
        <x:f>MAX(0,(D14-F14)*G14)</x:f>
        <x:v>0</x:v>
      </x:c>
      <x:c r="I14" s="159" t="n">
        <x:f>D14-F14-H14</x:f>
        <x:v>0</x:v>
      </x:c>
      <x:c r="J14" s="203" t="n">
        <x:f>IFERROR(I14/C14,0)</x:f>
        <x:v>0</x:v>
      </x:c>
      <x:c r="K14" s="149" t="str">
        <x:f>IFERROR(VLOOKUP(A14,'재고·판매'!$A$5:$J$104,5,FALSE),0)</x:f>
      </x:c>
      <x:c r="L14" s="159" t="n">
        <x:f>I14*K14</x:f>
        <x:v>0</x:v>
      </x:c>
    </x:row>
    <x:row r="15">
      <x:c r="A15" s="135"/>
      <x:c r="B15" t="str">
        <x:f>IFERROR(VLOOKUP(A15,'상품 손익'!$A$5:$N$104,2,FALSE),"")</x:f>
      </x:c>
      <x:c r="C15" s="159" t="str">
        <x:f>IFERROR(VLOOKUP(A15,'상품 손익'!$A$5:$N$104,7,FALSE),0)</x:f>
      </x:c>
      <x:c r="D15" s="159" t="n">
        <x:f>IFERROR(VLOOKUP(A15,'상품 손익'!$A$5:$N$104,13,FALSE),0)</x:f>
        <x:v>0</x:v>
      </x:c>
      <x:c r="E15" s="199" t="n">
        <x:v>0.1</x:v>
      </x:c>
      <x:c r="F15" s="195" t="n">
        <x:f>IF(C15=0,0,C15*E15/(1+E15))</x:f>
        <x:v>0</x:v>
      </x:c>
      <x:c r="G15" s="201" t="n">
        <x:v>0.15</x:v>
      </x:c>
      <x:c r="H15" s="195" t="n">
        <x:f>MAX(0,(D15-F15)*G15)</x:f>
        <x:v>0</x:v>
      </x:c>
      <x:c r="I15" s="159" t="n">
        <x:f>D15-F15-H15</x:f>
        <x:v>0</x:v>
      </x:c>
      <x:c r="J15" s="203" t="n">
        <x:f>IFERROR(I15/C15,0)</x:f>
        <x:v>0</x:v>
      </x:c>
      <x:c r="K15" s="149" t="str">
        <x:f>IFERROR(VLOOKUP(A15,'재고·판매'!$A$5:$J$104,5,FALSE),0)</x:f>
      </x:c>
      <x:c r="L15" s="159" t="n">
        <x:f>I15*K15</x:f>
        <x:v>0</x:v>
      </x:c>
    </x:row>
    <x:row r="16">
      <x:c r="A16" s="135"/>
      <x:c r="B16" t="str">
        <x:f>IFERROR(VLOOKUP(A16,'상품 손익'!$A$5:$N$104,2,FALSE),"")</x:f>
      </x:c>
      <x:c r="C16" s="159" t="str">
        <x:f>IFERROR(VLOOKUP(A16,'상품 손익'!$A$5:$N$104,7,FALSE),0)</x:f>
      </x:c>
      <x:c r="D16" s="159" t="n">
        <x:f>IFERROR(VLOOKUP(A16,'상품 손익'!$A$5:$N$104,13,FALSE),0)</x:f>
        <x:v>0</x:v>
      </x:c>
      <x:c r="E16" s="199" t="n">
        <x:v>0.1</x:v>
      </x:c>
      <x:c r="F16" s="195" t="n">
        <x:f>IF(C16=0,0,C16*E16/(1+E16))</x:f>
        <x:v>0</x:v>
      </x:c>
      <x:c r="G16" s="201" t="n">
        <x:v>0.15</x:v>
      </x:c>
      <x:c r="H16" s="195" t="n">
        <x:f>MAX(0,(D16-F16)*G16)</x:f>
        <x:v>0</x:v>
      </x:c>
      <x:c r="I16" s="159" t="n">
        <x:f>D16-F16-H16</x:f>
        <x:v>0</x:v>
      </x:c>
      <x:c r="J16" s="203" t="n">
        <x:f>IFERROR(I16/C16,0)</x:f>
        <x:v>0</x:v>
      </x:c>
      <x:c r="K16" s="149" t="str">
        <x:f>IFERROR(VLOOKUP(A16,'재고·판매'!$A$5:$J$104,5,FALSE),0)</x:f>
      </x:c>
      <x:c r="L16" s="159" t="n">
        <x:f>I16*K16</x:f>
        <x:v>0</x:v>
      </x:c>
    </x:row>
    <x:row r="17">
      <x:c r="A17" s="135"/>
      <x:c r="B17" t="str">
        <x:f>IFERROR(VLOOKUP(A17,'상품 손익'!$A$5:$N$104,2,FALSE),"")</x:f>
      </x:c>
      <x:c r="C17" s="159" t="str">
        <x:f>IFERROR(VLOOKUP(A17,'상품 손익'!$A$5:$N$104,7,FALSE),0)</x:f>
      </x:c>
      <x:c r="D17" s="159" t="n">
        <x:f>IFERROR(VLOOKUP(A17,'상품 손익'!$A$5:$N$104,13,FALSE),0)</x:f>
        <x:v>0</x:v>
      </x:c>
      <x:c r="E17" s="199" t="n">
        <x:v>0.1</x:v>
      </x:c>
      <x:c r="F17" s="195" t="n">
        <x:f>IF(C17=0,0,C17*E17/(1+E17))</x:f>
        <x:v>0</x:v>
      </x:c>
      <x:c r="G17" s="201" t="n">
        <x:v>0.15</x:v>
      </x:c>
      <x:c r="H17" s="195" t="n">
        <x:f>MAX(0,(D17-F17)*G17)</x:f>
        <x:v>0</x:v>
      </x:c>
      <x:c r="I17" s="159" t="n">
        <x:f>D17-F17-H17</x:f>
        <x:v>0</x:v>
      </x:c>
      <x:c r="J17" s="203" t="n">
        <x:f>IFERROR(I17/C17,0)</x:f>
        <x:v>0</x:v>
      </x:c>
      <x:c r="K17" s="149" t="str">
        <x:f>IFERROR(VLOOKUP(A17,'재고·판매'!$A$5:$J$104,5,FALSE),0)</x:f>
      </x:c>
      <x:c r="L17" s="159" t="n">
        <x:f>I17*K17</x:f>
        <x:v>0</x:v>
      </x:c>
    </x:row>
    <x:row r="18">
      <x:c r="A18" s="135"/>
      <x:c r="B18" t="str">
        <x:f>IFERROR(VLOOKUP(A18,'상품 손익'!$A$5:$N$104,2,FALSE),"")</x:f>
      </x:c>
      <x:c r="C18" s="159" t="str">
        <x:f>IFERROR(VLOOKUP(A18,'상품 손익'!$A$5:$N$104,7,FALSE),0)</x:f>
      </x:c>
      <x:c r="D18" s="159" t="n">
        <x:f>IFERROR(VLOOKUP(A18,'상품 손익'!$A$5:$N$104,13,FALSE),0)</x:f>
        <x:v>0</x:v>
      </x:c>
      <x:c r="E18" s="199" t="n">
        <x:v>0.1</x:v>
      </x:c>
      <x:c r="F18" s="195" t="n">
        <x:f>IF(C18=0,0,C18*E18/(1+E18))</x:f>
        <x:v>0</x:v>
      </x:c>
      <x:c r="G18" s="201" t="n">
        <x:v>0.15</x:v>
      </x:c>
      <x:c r="H18" s="195" t="n">
        <x:f>MAX(0,(D18-F18)*G18)</x:f>
        <x:v>0</x:v>
      </x:c>
      <x:c r="I18" s="159" t="n">
        <x:f>D18-F18-H18</x:f>
        <x:v>0</x:v>
      </x:c>
      <x:c r="J18" s="203" t="n">
        <x:f>IFERROR(I18/C18,0)</x:f>
        <x:v>0</x:v>
      </x:c>
      <x:c r="K18" s="149" t="str">
        <x:f>IFERROR(VLOOKUP(A18,'재고·판매'!$A$5:$J$104,5,FALSE),0)</x:f>
      </x:c>
      <x:c r="L18" s="159" t="n">
        <x:f>I18*K18</x:f>
        <x:v>0</x:v>
      </x:c>
    </x:row>
    <x:row r="19">
      <x:c r="A19" s="135"/>
      <x:c r="B19" t="str">
        <x:f>IFERROR(VLOOKUP(A19,'상품 손익'!$A$5:$N$104,2,FALSE),"")</x:f>
      </x:c>
      <x:c r="C19" s="159" t="str">
        <x:f>IFERROR(VLOOKUP(A19,'상품 손익'!$A$5:$N$104,7,FALSE),0)</x:f>
      </x:c>
      <x:c r="D19" s="159" t="n">
        <x:f>IFERROR(VLOOKUP(A19,'상품 손익'!$A$5:$N$104,13,FALSE),0)</x:f>
        <x:v>0</x:v>
      </x:c>
      <x:c r="E19" s="199" t="n">
        <x:v>0.1</x:v>
      </x:c>
      <x:c r="F19" s="195" t="n">
        <x:f>IF(C19=0,0,C19*E19/(1+E19))</x:f>
        <x:v>0</x:v>
      </x:c>
      <x:c r="G19" s="201" t="n">
        <x:v>0.15</x:v>
      </x:c>
      <x:c r="H19" s="195" t="n">
        <x:f>MAX(0,(D19-F19)*G19)</x:f>
        <x:v>0</x:v>
      </x:c>
      <x:c r="I19" s="159" t="n">
        <x:f>D19-F19-H19</x:f>
        <x:v>0</x:v>
      </x:c>
      <x:c r="J19" s="203" t="n">
        <x:f>IFERROR(I19/C19,0)</x:f>
        <x:v>0</x:v>
      </x:c>
      <x:c r="K19" s="149" t="str">
        <x:f>IFERROR(VLOOKUP(A19,'재고·판매'!$A$5:$J$104,5,FALSE),0)</x:f>
      </x:c>
      <x:c r="L19" s="159" t="n">
        <x:f>I19*K19</x:f>
        <x:v>0</x:v>
      </x:c>
    </x:row>
    <x:row r="20">
      <x:c r="A20" s="135"/>
      <x:c r="B20" t="str">
        <x:f>IFERROR(VLOOKUP(A20,'상품 손익'!$A$5:$N$104,2,FALSE),"")</x:f>
      </x:c>
      <x:c r="C20" s="159" t="str">
        <x:f>IFERROR(VLOOKUP(A20,'상품 손익'!$A$5:$N$104,7,FALSE),0)</x:f>
      </x:c>
      <x:c r="D20" s="159" t="n">
        <x:f>IFERROR(VLOOKUP(A20,'상품 손익'!$A$5:$N$104,13,FALSE),0)</x:f>
        <x:v>0</x:v>
      </x:c>
      <x:c r="E20" s="199" t="n">
        <x:v>0.1</x:v>
      </x:c>
      <x:c r="F20" s="195" t="n">
        <x:f>IF(C20=0,0,C20*E20/(1+E20))</x:f>
        <x:v>0</x:v>
      </x:c>
      <x:c r="G20" s="201" t="n">
        <x:v>0.15</x:v>
      </x:c>
      <x:c r="H20" s="195" t="n">
        <x:f>MAX(0,(D20-F20)*G20)</x:f>
        <x:v>0</x:v>
      </x:c>
      <x:c r="I20" s="159" t="n">
        <x:f>D20-F20-H20</x:f>
        <x:v>0</x:v>
      </x:c>
      <x:c r="J20" s="203" t="n">
        <x:f>IFERROR(I20/C20,0)</x:f>
        <x:v>0</x:v>
      </x:c>
      <x:c r="K20" s="149" t="str">
        <x:f>IFERROR(VLOOKUP(A20,'재고·판매'!$A$5:$J$104,5,FALSE),0)</x:f>
      </x:c>
      <x:c r="L20" s="159" t="n">
        <x:f>I20*K20</x:f>
        <x:v>0</x:v>
      </x:c>
    </x:row>
    <x:row r="21">
      <x:c r="A21" s="135"/>
      <x:c r="B21" t="str">
        <x:f>IFERROR(VLOOKUP(A21,'상품 손익'!$A$5:$N$104,2,FALSE),"")</x:f>
      </x:c>
      <x:c r="C21" s="159" t="str">
        <x:f>IFERROR(VLOOKUP(A21,'상품 손익'!$A$5:$N$104,7,FALSE),0)</x:f>
      </x:c>
      <x:c r="D21" s="159" t="n">
        <x:f>IFERROR(VLOOKUP(A21,'상품 손익'!$A$5:$N$104,13,FALSE),0)</x:f>
        <x:v>0</x:v>
      </x:c>
      <x:c r="E21" s="199" t="n">
        <x:v>0.1</x:v>
      </x:c>
      <x:c r="F21" s="195" t="n">
        <x:f>IF(C21=0,0,C21*E21/(1+E21))</x:f>
        <x:v>0</x:v>
      </x:c>
      <x:c r="G21" s="201" t="n">
        <x:v>0.15</x:v>
      </x:c>
      <x:c r="H21" s="195" t="n">
        <x:f>MAX(0,(D21-F21)*G21)</x:f>
        <x:v>0</x:v>
      </x:c>
      <x:c r="I21" s="159" t="n">
        <x:f>D21-F21-H21</x:f>
        <x:v>0</x:v>
      </x:c>
      <x:c r="J21" s="203" t="n">
        <x:f>IFERROR(I21/C21,0)</x:f>
        <x:v>0</x:v>
      </x:c>
      <x:c r="K21" s="149" t="str">
        <x:f>IFERROR(VLOOKUP(A21,'재고·판매'!$A$5:$J$104,5,FALSE),0)</x:f>
      </x:c>
      <x:c r="L21" s="159" t="n">
        <x:f>I21*K21</x:f>
        <x:v>0</x:v>
      </x:c>
    </x:row>
    <x:row r="22">
      <x:c r="A22" s="135"/>
      <x:c r="B22" t="str">
        <x:f>IFERROR(VLOOKUP(A22,'상품 손익'!$A$5:$N$104,2,FALSE),"")</x:f>
      </x:c>
      <x:c r="C22" s="159" t="str">
        <x:f>IFERROR(VLOOKUP(A22,'상품 손익'!$A$5:$N$104,7,FALSE),0)</x:f>
      </x:c>
      <x:c r="D22" s="159" t="n">
        <x:f>IFERROR(VLOOKUP(A22,'상품 손익'!$A$5:$N$104,13,FALSE),0)</x:f>
        <x:v>0</x:v>
      </x:c>
      <x:c r="E22" s="199" t="n">
        <x:v>0.1</x:v>
      </x:c>
      <x:c r="F22" s="195" t="n">
        <x:f>IF(C22=0,0,C22*E22/(1+E22))</x:f>
        <x:v>0</x:v>
      </x:c>
      <x:c r="G22" s="201" t="n">
        <x:v>0.15</x:v>
      </x:c>
      <x:c r="H22" s="195" t="n">
        <x:f>MAX(0,(D22-F22)*G22)</x:f>
        <x:v>0</x:v>
      </x:c>
      <x:c r="I22" s="159" t="n">
        <x:f>D22-F22-H22</x:f>
        <x:v>0</x:v>
      </x:c>
      <x:c r="J22" s="203" t="n">
        <x:f>IFERROR(I22/C22,0)</x:f>
        <x:v>0</x:v>
      </x:c>
      <x:c r="K22" s="149" t="str">
        <x:f>IFERROR(VLOOKUP(A22,'재고·판매'!$A$5:$J$104,5,FALSE),0)</x:f>
      </x:c>
      <x:c r="L22" s="159" t="n">
        <x:f>I22*K22</x:f>
        <x:v>0</x:v>
      </x:c>
    </x:row>
    <x:row r="23">
      <x:c r="A23" s="135"/>
      <x:c r="B23" t="str">
        <x:f>IFERROR(VLOOKUP(A23,'상품 손익'!$A$5:$N$104,2,FALSE),"")</x:f>
      </x:c>
      <x:c r="C23" s="159" t="str">
        <x:f>IFERROR(VLOOKUP(A23,'상품 손익'!$A$5:$N$104,7,FALSE),0)</x:f>
      </x:c>
      <x:c r="D23" s="159" t="n">
        <x:f>IFERROR(VLOOKUP(A23,'상품 손익'!$A$5:$N$104,13,FALSE),0)</x:f>
        <x:v>0</x:v>
      </x:c>
      <x:c r="E23" s="199" t="n">
        <x:v>0.1</x:v>
      </x:c>
      <x:c r="F23" s="195" t="n">
        <x:f>IF(C23=0,0,C23*E23/(1+E23))</x:f>
        <x:v>0</x:v>
      </x:c>
      <x:c r="G23" s="201" t="n">
        <x:v>0.15</x:v>
      </x:c>
      <x:c r="H23" s="195" t="n">
        <x:f>MAX(0,(D23-F23)*G23)</x:f>
        <x:v>0</x:v>
      </x:c>
      <x:c r="I23" s="159" t="n">
        <x:f>D23-F23-H23</x:f>
        <x:v>0</x:v>
      </x:c>
      <x:c r="J23" s="203" t="n">
        <x:f>IFERROR(I23/C23,0)</x:f>
        <x:v>0</x:v>
      </x:c>
      <x:c r="K23" s="149" t="str">
        <x:f>IFERROR(VLOOKUP(A23,'재고·판매'!$A$5:$J$104,5,FALSE),0)</x:f>
      </x:c>
      <x:c r="L23" s="159" t="n">
        <x:f>I23*K23</x:f>
        <x:v>0</x:v>
      </x:c>
    </x:row>
    <x:row r="24">
      <x:c r="A24" s="135"/>
      <x:c r="B24" t="str">
        <x:f>IFERROR(VLOOKUP(A24,'상품 손익'!$A$5:$N$104,2,FALSE),"")</x:f>
      </x:c>
      <x:c r="C24" s="159" t="str">
        <x:f>IFERROR(VLOOKUP(A24,'상품 손익'!$A$5:$N$104,7,FALSE),0)</x:f>
      </x:c>
      <x:c r="D24" s="159" t="n">
        <x:f>IFERROR(VLOOKUP(A24,'상품 손익'!$A$5:$N$104,13,FALSE),0)</x:f>
        <x:v>0</x:v>
      </x:c>
      <x:c r="E24" s="199" t="n">
        <x:v>0.1</x:v>
      </x:c>
      <x:c r="F24" s="195" t="n">
        <x:f>IF(C24=0,0,C24*E24/(1+E24))</x:f>
        <x:v>0</x:v>
      </x:c>
      <x:c r="G24" s="201" t="n">
        <x:v>0.15</x:v>
      </x:c>
      <x:c r="H24" s="195" t="n">
        <x:f>MAX(0,(D24-F24)*G24)</x:f>
        <x:v>0</x:v>
      </x:c>
      <x:c r="I24" s="159" t="n">
        <x:f>D24-F24-H24</x:f>
        <x:v>0</x:v>
      </x:c>
      <x:c r="J24" s="203" t="n">
        <x:f>IFERROR(I24/C24,0)</x:f>
        <x:v>0</x:v>
      </x:c>
      <x:c r="K24" s="149" t="str">
        <x:f>IFERROR(VLOOKUP(A24,'재고·판매'!$A$5:$J$104,5,FALSE),0)</x:f>
      </x:c>
      <x:c r="L24" s="159" t="n">
        <x:f>I24*K24</x:f>
        <x:v>0</x:v>
      </x:c>
    </x:row>
    <x:row r="25">
      <x:c r="A25" s="135"/>
      <x:c r="B25" t="str">
        <x:f>IFERROR(VLOOKUP(A25,'상품 손익'!$A$5:$N$104,2,FALSE),"")</x:f>
      </x:c>
      <x:c r="C25" s="159" t="str">
        <x:f>IFERROR(VLOOKUP(A25,'상품 손익'!$A$5:$N$104,7,FALSE),0)</x:f>
      </x:c>
      <x:c r="D25" s="159" t="n">
        <x:f>IFERROR(VLOOKUP(A25,'상품 손익'!$A$5:$N$104,13,FALSE),0)</x:f>
        <x:v>0</x:v>
      </x:c>
      <x:c r="E25" s="199" t="n">
        <x:v>0.1</x:v>
      </x:c>
      <x:c r="F25" s="195" t="n">
        <x:f>IF(C25=0,0,C25*E25/(1+E25))</x:f>
        <x:v>0</x:v>
      </x:c>
      <x:c r="G25" s="201" t="n">
        <x:v>0.15</x:v>
      </x:c>
      <x:c r="H25" s="195" t="n">
        <x:f>MAX(0,(D25-F25)*G25)</x:f>
        <x:v>0</x:v>
      </x:c>
      <x:c r="I25" s="159" t="n">
        <x:f>D25-F25-H25</x:f>
        <x:v>0</x:v>
      </x:c>
      <x:c r="J25" s="203" t="n">
        <x:f>IFERROR(I25/C25,0)</x:f>
        <x:v>0</x:v>
      </x:c>
      <x:c r="K25" s="149" t="str">
        <x:f>IFERROR(VLOOKUP(A25,'재고·판매'!$A$5:$J$104,5,FALSE),0)</x:f>
      </x:c>
      <x:c r="L25" s="159" t="n">
        <x:f>I25*K25</x:f>
        <x:v>0</x:v>
      </x:c>
    </x:row>
    <x:row r="26">
      <x:c r="A26" s="135"/>
      <x:c r="B26" t="str">
        <x:f>IFERROR(VLOOKUP(A26,'상품 손익'!$A$5:$N$104,2,FALSE),"")</x:f>
      </x:c>
      <x:c r="C26" s="159" t="str">
        <x:f>IFERROR(VLOOKUP(A26,'상품 손익'!$A$5:$N$104,7,FALSE),0)</x:f>
      </x:c>
      <x:c r="D26" s="159" t="n">
        <x:f>IFERROR(VLOOKUP(A26,'상품 손익'!$A$5:$N$104,13,FALSE),0)</x:f>
        <x:v>0</x:v>
      </x:c>
      <x:c r="E26" s="199" t="n">
        <x:v>0.1</x:v>
      </x:c>
      <x:c r="F26" s="195" t="n">
        <x:f>IF(C26=0,0,C26*E26/(1+E26))</x:f>
        <x:v>0</x:v>
      </x:c>
      <x:c r="G26" s="201" t="n">
        <x:v>0.15</x:v>
      </x:c>
      <x:c r="H26" s="195" t="n">
        <x:f>MAX(0,(D26-F26)*G26)</x:f>
        <x:v>0</x:v>
      </x:c>
      <x:c r="I26" s="159" t="n">
        <x:f>D26-F26-H26</x:f>
        <x:v>0</x:v>
      </x:c>
      <x:c r="J26" s="203" t="n">
        <x:f>IFERROR(I26/C26,0)</x:f>
        <x:v>0</x:v>
      </x:c>
      <x:c r="K26" s="149" t="str">
        <x:f>IFERROR(VLOOKUP(A26,'재고·판매'!$A$5:$J$104,5,FALSE),0)</x:f>
      </x:c>
      <x:c r="L26" s="159" t="n">
        <x:f>I26*K26</x:f>
        <x:v>0</x:v>
      </x:c>
    </x:row>
    <x:row r="27">
      <x:c r="A27" s="135"/>
      <x:c r="B27" t="str">
        <x:f>IFERROR(VLOOKUP(A27,'상품 손익'!$A$5:$N$104,2,FALSE),"")</x:f>
      </x:c>
      <x:c r="C27" s="159" t="str">
        <x:f>IFERROR(VLOOKUP(A27,'상품 손익'!$A$5:$N$104,7,FALSE),0)</x:f>
      </x:c>
      <x:c r="D27" s="159" t="n">
        <x:f>IFERROR(VLOOKUP(A27,'상품 손익'!$A$5:$N$104,13,FALSE),0)</x:f>
        <x:v>0</x:v>
      </x:c>
      <x:c r="E27" s="199" t="n">
        <x:v>0.1</x:v>
      </x:c>
      <x:c r="F27" s="195" t="n">
        <x:f>IF(C27=0,0,C27*E27/(1+E27))</x:f>
        <x:v>0</x:v>
      </x:c>
      <x:c r="G27" s="201" t="n">
        <x:v>0.15</x:v>
      </x:c>
      <x:c r="H27" s="195" t="n">
        <x:f>MAX(0,(D27-F27)*G27)</x:f>
        <x:v>0</x:v>
      </x:c>
      <x:c r="I27" s="159" t="n">
        <x:f>D27-F27-H27</x:f>
        <x:v>0</x:v>
      </x:c>
      <x:c r="J27" s="203" t="n">
        <x:f>IFERROR(I27/C27,0)</x:f>
        <x:v>0</x:v>
      </x:c>
      <x:c r="K27" s="149" t="str">
        <x:f>IFERROR(VLOOKUP(A27,'재고·판매'!$A$5:$J$104,5,FALSE),0)</x:f>
      </x:c>
      <x:c r="L27" s="159" t="n">
        <x:f>I27*K27</x:f>
        <x:v>0</x:v>
      </x:c>
    </x:row>
    <x:row r="28">
      <x:c r="A28" s="135"/>
      <x:c r="B28" t="str">
        <x:f>IFERROR(VLOOKUP(A28,'상품 손익'!$A$5:$N$104,2,FALSE),"")</x:f>
      </x:c>
      <x:c r="C28" s="159" t="str">
        <x:f>IFERROR(VLOOKUP(A28,'상품 손익'!$A$5:$N$104,7,FALSE),0)</x:f>
      </x:c>
      <x:c r="D28" s="159" t="n">
        <x:f>IFERROR(VLOOKUP(A28,'상품 손익'!$A$5:$N$104,13,FALSE),0)</x:f>
        <x:v>0</x:v>
      </x:c>
      <x:c r="E28" s="199" t="n">
        <x:v>0.1</x:v>
      </x:c>
      <x:c r="F28" s="195" t="n">
        <x:f>IF(C28=0,0,C28*E28/(1+E28))</x:f>
        <x:v>0</x:v>
      </x:c>
      <x:c r="G28" s="201" t="n">
        <x:v>0.15</x:v>
      </x:c>
      <x:c r="H28" s="195" t="n">
        <x:f>MAX(0,(D28-F28)*G28)</x:f>
        <x:v>0</x:v>
      </x:c>
      <x:c r="I28" s="159" t="n">
        <x:f>D28-F28-H28</x:f>
        <x:v>0</x:v>
      </x:c>
      <x:c r="J28" s="203" t="n">
        <x:f>IFERROR(I28/C28,0)</x:f>
        <x:v>0</x:v>
      </x:c>
      <x:c r="K28" s="149" t="str">
        <x:f>IFERROR(VLOOKUP(A28,'재고·판매'!$A$5:$J$104,5,FALSE),0)</x:f>
      </x:c>
      <x:c r="L28" s="159" t="n">
        <x:f>I28*K28</x:f>
        <x:v>0</x:v>
      </x:c>
    </x:row>
    <x:row r="29">
      <x:c r="A29" s="135"/>
      <x:c r="B29" t="str">
        <x:f>IFERROR(VLOOKUP(A29,'상품 손익'!$A$5:$N$104,2,FALSE),"")</x:f>
      </x:c>
      <x:c r="C29" s="159" t="str">
        <x:f>IFERROR(VLOOKUP(A29,'상품 손익'!$A$5:$N$104,7,FALSE),0)</x:f>
      </x:c>
      <x:c r="D29" s="159" t="n">
        <x:f>IFERROR(VLOOKUP(A29,'상품 손익'!$A$5:$N$104,13,FALSE),0)</x:f>
        <x:v>0</x:v>
      </x:c>
      <x:c r="E29" s="199" t="n">
        <x:v>0.1</x:v>
      </x:c>
      <x:c r="F29" s="195" t="n">
        <x:f>IF(C29=0,0,C29*E29/(1+E29))</x:f>
        <x:v>0</x:v>
      </x:c>
      <x:c r="G29" s="201" t="n">
        <x:v>0.15</x:v>
      </x:c>
      <x:c r="H29" s="195" t="n">
        <x:f>MAX(0,(D29-F29)*G29)</x:f>
        <x:v>0</x:v>
      </x:c>
      <x:c r="I29" s="159" t="n">
        <x:f>D29-F29-H29</x:f>
        <x:v>0</x:v>
      </x:c>
      <x:c r="J29" s="203" t="n">
        <x:f>IFERROR(I29/C29,0)</x:f>
        <x:v>0</x:v>
      </x:c>
      <x:c r="K29" s="149" t="str">
        <x:f>IFERROR(VLOOKUP(A29,'재고·판매'!$A$5:$J$104,5,FALSE),0)</x:f>
      </x:c>
      <x:c r="L29" s="159" t="n">
        <x:f>I29*K29</x:f>
        <x:v>0</x:v>
      </x:c>
    </x:row>
    <x:row r="30">
      <x:c r="A30" s="135"/>
      <x:c r="B30" t="str">
        <x:f>IFERROR(VLOOKUP(A30,'상품 손익'!$A$5:$N$104,2,FALSE),"")</x:f>
      </x:c>
      <x:c r="C30" s="159" t="str">
        <x:f>IFERROR(VLOOKUP(A30,'상품 손익'!$A$5:$N$104,7,FALSE),0)</x:f>
      </x:c>
      <x:c r="D30" s="159" t="n">
        <x:f>IFERROR(VLOOKUP(A30,'상품 손익'!$A$5:$N$104,13,FALSE),0)</x:f>
        <x:v>0</x:v>
      </x:c>
      <x:c r="E30" s="199" t="n">
        <x:v>0.1</x:v>
      </x:c>
      <x:c r="F30" s="195" t="n">
        <x:f>IF(C30=0,0,C30*E30/(1+E30))</x:f>
        <x:v>0</x:v>
      </x:c>
      <x:c r="G30" s="201" t="n">
        <x:v>0.15</x:v>
      </x:c>
      <x:c r="H30" s="195" t="n">
        <x:f>MAX(0,(D30-F30)*G30)</x:f>
        <x:v>0</x:v>
      </x:c>
      <x:c r="I30" s="159" t="n">
        <x:f>D30-F30-H30</x:f>
        <x:v>0</x:v>
      </x:c>
      <x:c r="J30" s="203" t="n">
        <x:f>IFERROR(I30/C30,0)</x:f>
        <x:v>0</x:v>
      </x:c>
      <x:c r="K30" s="149" t="str">
        <x:f>IFERROR(VLOOKUP(A30,'재고·판매'!$A$5:$J$104,5,FALSE),0)</x:f>
      </x:c>
      <x:c r="L30" s="159" t="n">
        <x:f>I30*K30</x:f>
        <x:v>0</x:v>
      </x:c>
    </x:row>
    <x:row r="31">
      <x:c r="A31" s="135"/>
      <x:c r="B31" t="str">
        <x:f>IFERROR(VLOOKUP(A31,'상품 손익'!$A$5:$N$104,2,FALSE),"")</x:f>
      </x:c>
      <x:c r="C31" s="159" t="str">
        <x:f>IFERROR(VLOOKUP(A31,'상품 손익'!$A$5:$N$104,7,FALSE),0)</x:f>
      </x:c>
      <x:c r="D31" s="159" t="n">
        <x:f>IFERROR(VLOOKUP(A31,'상품 손익'!$A$5:$N$104,13,FALSE),0)</x:f>
        <x:v>0</x:v>
      </x:c>
      <x:c r="E31" s="199" t="n">
        <x:v>0.1</x:v>
      </x:c>
      <x:c r="F31" s="195" t="n">
        <x:f>IF(C31=0,0,C31*E31/(1+E31))</x:f>
        <x:v>0</x:v>
      </x:c>
      <x:c r="G31" s="201" t="n">
        <x:v>0.15</x:v>
      </x:c>
      <x:c r="H31" s="195" t="n">
        <x:f>MAX(0,(D31-F31)*G31)</x:f>
        <x:v>0</x:v>
      </x:c>
      <x:c r="I31" s="159" t="n">
        <x:f>D31-F31-H31</x:f>
        <x:v>0</x:v>
      </x:c>
      <x:c r="J31" s="203" t="n">
        <x:f>IFERROR(I31/C31,0)</x:f>
        <x:v>0</x:v>
      </x:c>
      <x:c r="K31" s="149" t="str">
        <x:f>IFERROR(VLOOKUP(A31,'재고·판매'!$A$5:$J$104,5,FALSE),0)</x:f>
      </x:c>
      <x:c r="L31" s="159" t="n">
        <x:f>I31*K31</x:f>
        <x:v>0</x:v>
      </x:c>
    </x:row>
    <x:row r="32">
      <x:c r="A32" s="135"/>
      <x:c r="B32" t="str">
        <x:f>IFERROR(VLOOKUP(A32,'상품 손익'!$A$5:$N$104,2,FALSE),"")</x:f>
      </x:c>
      <x:c r="C32" s="159" t="str">
        <x:f>IFERROR(VLOOKUP(A32,'상품 손익'!$A$5:$N$104,7,FALSE),0)</x:f>
      </x:c>
      <x:c r="D32" s="159" t="n">
        <x:f>IFERROR(VLOOKUP(A32,'상품 손익'!$A$5:$N$104,13,FALSE),0)</x:f>
        <x:v>0</x:v>
      </x:c>
      <x:c r="E32" s="199" t="n">
        <x:v>0.1</x:v>
      </x:c>
      <x:c r="F32" s="195" t="n">
        <x:f>IF(C32=0,0,C32*E32/(1+E32))</x:f>
        <x:v>0</x:v>
      </x:c>
      <x:c r="G32" s="201" t="n">
        <x:v>0.15</x:v>
      </x:c>
      <x:c r="H32" s="195" t="n">
        <x:f>MAX(0,(D32-F32)*G32)</x:f>
        <x:v>0</x:v>
      </x:c>
      <x:c r="I32" s="159" t="n">
        <x:f>D32-F32-H32</x:f>
        <x:v>0</x:v>
      </x:c>
      <x:c r="J32" s="203" t="n">
        <x:f>IFERROR(I32/C32,0)</x:f>
        <x:v>0</x:v>
      </x:c>
      <x:c r="K32" s="149" t="str">
        <x:f>IFERROR(VLOOKUP(A32,'재고·판매'!$A$5:$J$104,5,FALSE),0)</x:f>
      </x:c>
      <x:c r="L32" s="159" t="n">
        <x:f>I32*K32</x:f>
        <x:v>0</x:v>
      </x:c>
    </x:row>
    <x:row r="33">
      <x:c r="A33" s="135"/>
      <x:c r="B33" t="str">
        <x:f>IFERROR(VLOOKUP(A33,'상품 손익'!$A$5:$N$104,2,FALSE),"")</x:f>
      </x:c>
      <x:c r="C33" s="159" t="str">
        <x:f>IFERROR(VLOOKUP(A33,'상품 손익'!$A$5:$N$104,7,FALSE),0)</x:f>
      </x:c>
      <x:c r="D33" s="159" t="n">
        <x:f>IFERROR(VLOOKUP(A33,'상품 손익'!$A$5:$N$104,13,FALSE),0)</x:f>
        <x:v>0</x:v>
      </x:c>
      <x:c r="E33" s="199" t="n">
        <x:v>0.1</x:v>
      </x:c>
      <x:c r="F33" s="195" t="n">
        <x:f>IF(C33=0,0,C33*E33/(1+E33))</x:f>
        <x:v>0</x:v>
      </x:c>
      <x:c r="G33" s="201" t="n">
        <x:v>0.15</x:v>
      </x:c>
      <x:c r="H33" s="195" t="n">
        <x:f>MAX(0,(D33-F33)*G33)</x:f>
        <x:v>0</x:v>
      </x:c>
      <x:c r="I33" s="159" t="n">
        <x:f>D33-F33-H33</x:f>
        <x:v>0</x:v>
      </x:c>
      <x:c r="J33" s="203" t="n">
        <x:f>IFERROR(I33/C33,0)</x:f>
        <x:v>0</x:v>
      </x:c>
      <x:c r="K33" s="149" t="str">
        <x:f>IFERROR(VLOOKUP(A33,'재고·판매'!$A$5:$J$104,5,FALSE),0)</x:f>
      </x:c>
      <x:c r="L33" s="159" t="n">
        <x:f>I33*K33</x:f>
        <x:v>0</x:v>
      </x:c>
    </x:row>
    <x:row r="34">
      <x:c r="A34" s="135"/>
      <x:c r="B34" t="str">
        <x:f>IFERROR(VLOOKUP(A34,'상품 손익'!$A$5:$N$104,2,FALSE),"")</x:f>
      </x:c>
      <x:c r="C34" s="159" t="str">
        <x:f>IFERROR(VLOOKUP(A34,'상품 손익'!$A$5:$N$104,7,FALSE),0)</x:f>
      </x:c>
      <x:c r="D34" s="159" t="n">
        <x:f>IFERROR(VLOOKUP(A34,'상품 손익'!$A$5:$N$104,13,FALSE),0)</x:f>
        <x:v>0</x:v>
      </x:c>
      <x:c r="E34" s="199" t="n">
        <x:v>0.1</x:v>
      </x:c>
      <x:c r="F34" s="195" t="n">
        <x:f>IF(C34=0,0,C34*E34/(1+E34))</x:f>
        <x:v>0</x:v>
      </x:c>
      <x:c r="G34" s="201" t="n">
        <x:v>0.15</x:v>
      </x:c>
      <x:c r="H34" s="195" t="n">
        <x:f>MAX(0,(D34-F34)*G34)</x:f>
        <x:v>0</x:v>
      </x:c>
      <x:c r="I34" s="159" t="n">
        <x:f>D34-F34-H34</x:f>
        <x:v>0</x:v>
      </x:c>
      <x:c r="J34" s="203" t="n">
        <x:f>IFERROR(I34/C34,0)</x:f>
        <x:v>0</x:v>
      </x:c>
      <x:c r="K34" s="149" t="str">
        <x:f>IFERROR(VLOOKUP(A34,'재고·판매'!$A$5:$J$104,5,FALSE),0)</x:f>
      </x:c>
      <x:c r="L34" s="159" t="n">
        <x:f>I34*K34</x:f>
        <x:v>0</x:v>
      </x:c>
    </x:row>
    <x:row r="35">
      <x:c r="A35" s="135"/>
      <x:c r="B35" t="str">
        <x:f>IFERROR(VLOOKUP(A35,'상품 손익'!$A$5:$N$104,2,FALSE),"")</x:f>
      </x:c>
      <x:c r="C35" s="159" t="str">
        <x:f>IFERROR(VLOOKUP(A35,'상품 손익'!$A$5:$N$104,7,FALSE),0)</x:f>
      </x:c>
      <x:c r="D35" s="159" t="n">
        <x:f>IFERROR(VLOOKUP(A35,'상품 손익'!$A$5:$N$104,13,FALSE),0)</x:f>
        <x:v>0</x:v>
      </x:c>
      <x:c r="E35" s="199" t="n">
        <x:v>0.1</x:v>
      </x:c>
      <x:c r="F35" s="195" t="n">
        <x:f>IF(C35=0,0,C35*E35/(1+E35))</x:f>
        <x:v>0</x:v>
      </x:c>
      <x:c r="G35" s="201" t="n">
        <x:v>0.15</x:v>
      </x:c>
      <x:c r="H35" s="195" t="n">
        <x:f>MAX(0,(D35-F35)*G35)</x:f>
        <x:v>0</x:v>
      </x:c>
      <x:c r="I35" s="159" t="n">
        <x:f>D35-F35-H35</x:f>
        <x:v>0</x:v>
      </x:c>
      <x:c r="J35" s="203" t="n">
        <x:f>IFERROR(I35/C35,0)</x:f>
        <x:v>0</x:v>
      </x:c>
      <x:c r="K35" s="149" t="str">
        <x:f>IFERROR(VLOOKUP(A35,'재고·판매'!$A$5:$J$104,5,FALSE),0)</x:f>
      </x:c>
      <x:c r="L35" s="159" t="n">
        <x:f>I35*K35</x:f>
        <x:v>0</x:v>
      </x:c>
    </x:row>
    <x:row r="36">
      <x:c r="A36" s="135"/>
      <x:c r="B36" t="str">
        <x:f>IFERROR(VLOOKUP(A36,'상품 손익'!$A$5:$N$104,2,FALSE),"")</x:f>
      </x:c>
      <x:c r="C36" s="159" t="str">
        <x:f>IFERROR(VLOOKUP(A36,'상품 손익'!$A$5:$N$104,7,FALSE),0)</x:f>
      </x:c>
      <x:c r="D36" s="159" t="n">
        <x:f>IFERROR(VLOOKUP(A36,'상품 손익'!$A$5:$N$104,13,FALSE),0)</x:f>
        <x:v>0</x:v>
      </x:c>
      <x:c r="E36" s="199" t="n">
        <x:v>0.1</x:v>
      </x:c>
      <x:c r="F36" s="195" t="n">
        <x:f>IF(C36=0,0,C36*E36/(1+E36))</x:f>
        <x:v>0</x:v>
      </x:c>
      <x:c r="G36" s="201" t="n">
        <x:v>0.15</x:v>
      </x:c>
      <x:c r="H36" s="195" t="n">
        <x:f>MAX(0,(D36-F36)*G36)</x:f>
        <x:v>0</x:v>
      </x:c>
      <x:c r="I36" s="159" t="n">
        <x:f>D36-F36-H36</x:f>
        <x:v>0</x:v>
      </x:c>
      <x:c r="J36" s="203" t="n">
        <x:f>IFERROR(I36/C36,0)</x:f>
        <x:v>0</x:v>
      </x:c>
      <x:c r="K36" s="149" t="str">
        <x:f>IFERROR(VLOOKUP(A36,'재고·판매'!$A$5:$J$104,5,FALSE),0)</x:f>
      </x:c>
      <x:c r="L36" s="159" t="n">
        <x:f>I36*K36</x:f>
        <x:v>0</x:v>
      </x:c>
    </x:row>
    <x:row r="37">
      <x:c r="A37" s="135"/>
      <x:c r="B37" t="str">
        <x:f>IFERROR(VLOOKUP(A37,'상품 손익'!$A$5:$N$104,2,FALSE),"")</x:f>
      </x:c>
      <x:c r="C37" s="159" t="str">
        <x:f>IFERROR(VLOOKUP(A37,'상품 손익'!$A$5:$N$104,7,FALSE),0)</x:f>
      </x:c>
      <x:c r="D37" s="159" t="n">
        <x:f>IFERROR(VLOOKUP(A37,'상품 손익'!$A$5:$N$104,13,FALSE),0)</x:f>
        <x:v>0</x:v>
      </x:c>
      <x:c r="E37" s="199" t="n">
        <x:v>0.1</x:v>
      </x:c>
      <x:c r="F37" s="195" t="n">
        <x:f>IF(C37=0,0,C37*E37/(1+E37))</x:f>
        <x:v>0</x:v>
      </x:c>
      <x:c r="G37" s="201" t="n">
        <x:v>0.15</x:v>
      </x:c>
      <x:c r="H37" s="195" t="n">
        <x:f>MAX(0,(D37-F37)*G37)</x:f>
        <x:v>0</x:v>
      </x:c>
      <x:c r="I37" s="159" t="n">
        <x:f>D37-F37-H37</x:f>
        <x:v>0</x:v>
      </x:c>
      <x:c r="J37" s="203" t="n">
        <x:f>IFERROR(I37/C37,0)</x:f>
        <x:v>0</x:v>
      </x:c>
      <x:c r="K37" s="149" t="str">
        <x:f>IFERROR(VLOOKUP(A37,'재고·판매'!$A$5:$J$104,5,FALSE),0)</x:f>
      </x:c>
      <x:c r="L37" s="159" t="n">
        <x:f>I37*K37</x:f>
        <x:v>0</x:v>
      </x:c>
    </x:row>
    <x:row r="38">
      <x:c r="A38" s="135"/>
      <x:c r="B38" t="str">
        <x:f>IFERROR(VLOOKUP(A38,'상품 손익'!$A$5:$N$104,2,FALSE),"")</x:f>
      </x:c>
      <x:c r="C38" s="159" t="str">
        <x:f>IFERROR(VLOOKUP(A38,'상품 손익'!$A$5:$N$104,7,FALSE),0)</x:f>
      </x:c>
      <x:c r="D38" s="159" t="n">
        <x:f>IFERROR(VLOOKUP(A38,'상품 손익'!$A$5:$N$104,13,FALSE),0)</x:f>
        <x:v>0</x:v>
      </x:c>
      <x:c r="E38" s="199" t="n">
        <x:v>0.1</x:v>
      </x:c>
      <x:c r="F38" s="195" t="n">
        <x:f>IF(C38=0,0,C38*E38/(1+E38))</x:f>
        <x:v>0</x:v>
      </x:c>
      <x:c r="G38" s="201" t="n">
        <x:v>0.15</x:v>
      </x:c>
      <x:c r="H38" s="195" t="n">
        <x:f>MAX(0,(D38-F38)*G38)</x:f>
        <x:v>0</x:v>
      </x:c>
      <x:c r="I38" s="159" t="n">
        <x:f>D38-F38-H38</x:f>
        <x:v>0</x:v>
      </x:c>
      <x:c r="J38" s="203" t="n">
        <x:f>IFERROR(I38/C38,0)</x:f>
        <x:v>0</x:v>
      </x:c>
      <x:c r="K38" s="149" t="str">
        <x:f>IFERROR(VLOOKUP(A38,'재고·판매'!$A$5:$J$104,5,FALSE),0)</x:f>
      </x:c>
      <x:c r="L38" s="159" t="n">
        <x:f>I38*K38</x:f>
        <x:v>0</x:v>
      </x:c>
    </x:row>
    <x:row r="39">
      <x:c r="A39" s="135"/>
      <x:c r="B39" t="str">
        <x:f>IFERROR(VLOOKUP(A39,'상품 손익'!$A$5:$N$104,2,FALSE),"")</x:f>
      </x:c>
      <x:c r="C39" s="159" t="str">
        <x:f>IFERROR(VLOOKUP(A39,'상품 손익'!$A$5:$N$104,7,FALSE),0)</x:f>
      </x:c>
      <x:c r="D39" s="159" t="n">
        <x:f>IFERROR(VLOOKUP(A39,'상품 손익'!$A$5:$N$104,13,FALSE),0)</x:f>
        <x:v>0</x:v>
      </x:c>
      <x:c r="E39" s="199" t="n">
        <x:v>0.1</x:v>
      </x:c>
      <x:c r="F39" s="195" t="n">
        <x:f>IF(C39=0,0,C39*E39/(1+E39))</x:f>
        <x:v>0</x:v>
      </x:c>
      <x:c r="G39" s="201" t="n">
        <x:v>0.15</x:v>
      </x:c>
      <x:c r="H39" s="195" t="n">
        <x:f>MAX(0,(D39-F39)*G39)</x:f>
        <x:v>0</x:v>
      </x:c>
      <x:c r="I39" s="159" t="n">
        <x:f>D39-F39-H39</x:f>
        <x:v>0</x:v>
      </x:c>
      <x:c r="J39" s="203" t="n">
        <x:f>IFERROR(I39/C39,0)</x:f>
        <x:v>0</x:v>
      </x:c>
      <x:c r="K39" s="149" t="str">
        <x:f>IFERROR(VLOOKUP(A39,'재고·판매'!$A$5:$J$104,5,FALSE),0)</x:f>
      </x:c>
      <x:c r="L39" s="159" t="n">
        <x:f>I39*K39</x:f>
        <x:v>0</x:v>
      </x:c>
    </x:row>
    <x:row r="40">
      <x:c r="A40" s="135"/>
      <x:c r="B40" t="str">
        <x:f>IFERROR(VLOOKUP(A40,'상품 손익'!$A$5:$N$104,2,FALSE),"")</x:f>
      </x:c>
      <x:c r="C40" s="159" t="str">
        <x:f>IFERROR(VLOOKUP(A40,'상품 손익'!$A$5:$N$104,7,FALSE),0)</x:f>
      </x:c>
      <x:c r="D40" s="159" t="n">
        <x:f>IFERROR(VLOOKUP(A40,'상품 손익'!$A$5:$N$104,13,FALSE),0)</x:f>
        <x:v>0</x:v>
      </x:c>
      <x:c r="E40" s="199" t="n">
        <x:v>0.1</x:v>
      </x:c>
      <x:c r="F40" s="195" t="n">
        <x:f>IF(C40=0,0,C40*E40/(1+E40))</x:f>
        <x:v>0</x:v>
      </x:c>
      <x:c r="G40" s="201" t="n">
        <x:v>0.15</x:v>
      </x:c>
      <x:c r="H40" s="195" t="n">
        <x:f>MAX(0,(D40-F40)*G40)</x:f>
        <x:v>0</x:v>
      </x:c>
      <x:c r="I40" s="159" t="n">
        <x:f>D40-F40-H40</x:f>
        <x:v>0</x:v>
      </x:c>
      <x:c r="J40" s="203" t="n">
        <x:f>IFERROR(I40/C40,0)</x:f>
        <x:v>0</x:v>
      </x:c>
      <x:c r="K40" s="149" t="str">
        <x:f>IFERROR(VLOOKUP(A40,'재고·판매'!$A$5:$J$104,5,FALSE),0)</x:f>
      </x:c>
      <x:c r="L40" s="159" t="n">
        <x:f>I40*K40</x:f>
        <x:v>0</x:v>
      </x:c>
    </x:row>
    <x:row r="41">
      <x:c r="A41" s="135"/>
      <x:c r="B41" t="str">
        <x:f>IFERROR(VLOOKUP(A41,'상품 손익'!$A$5:$N$104,2,FALSE),"")</x:f>
      </x:c>
      <x:c r="C41" s="159" t="str">
        <x:f>IFERROR(VLOOKUP(A41,'상품 손익'!$A$5:$N$104,7,FALSE),0)</x:f>
      </x:c>
      <x:c r="D41" s="159" t="n">
        <x:f>IFERROR(VLOOKUP(A41,'상품 손익'!$A$5:$N$104,13,FALSE),0)</x:f>
        <x:v>0</x:v>
      </x:c>
      <x:c r="E41" s="199" t="n">
        <x:v>0.1</x:v>
      </x:c>
      <x:c r="F41" s="195" t="n">
        <x:f>IF(C41=0,0,C41*E41/(1+E41))</x:f>
        <x:v>0</x:v>
      </x:c>
      <x:c r="G41" s="201" t="n">
        <x:v>0.15</x:v>
      </x:c>
      <x:c r="H41" s="195" t="n">
        <x:f>MAX(0,(D41-F41)*G41)</x:f>
        <x:v>0</x:v>
      </x:c>
      <x:c r="I41" s="159" t="n">
        <x:f>D41-F41-H41</x:f>
        <x:v>0</x:v>
      </x:c>
      <x:c r="J41" s="203" t="n">
        <x:f>IFERROR(I41/C41,0)</x:f>
        <x:v>0</x:v>
      </x:c>
      <x:c r="K41" s="149" t="str">
        <x:f>IFERROR(VLOOKUP(A41,'재고·판매'!$A$5:$J$104,5,FALSE),0)</x:f>
      </x:c>
      <x:c r="L41" s="159" t="n">
        <x:f>I41*K41</x:f>
        <x:v>0</x:v>
      </x:c>
    </x:row>
    <x:row r="42">
      <x:c r="A42" s="135"/>
      <x:c r="B42" t="str">
        <x:f>IFERROR(VLOOKUP(A42,'상품 손익'!$A$5:$N$104,2,FALSE),"")</x:f>
      </x:c>
      <x:c r="C42" s="159" t="str">
        <x:f>IFERROR(VLOOKUP(A42,'상품 손익'!$A$5:$N$104,7,FALSE),0)</x:f>
      </x:c>
      <x:c r="D42" s="159" t="n">
        <x:f>IFERROR(VLOOKUP(A42,'상품 손익'!$A$5:$N$104,13,FALSE),0)</x:f>
        <x:v>0</x:v>
      </x:c>
      <x:c r="E42" s="199" t="n">
        <x:v>0.1</x:v>
      </x:c>
      <x:c r="F42" s="195" t="n">
        <x:f>IF(C42=0,0,C42*E42/(1+E42))</x:f>
        <x:v>0</x:v>
      </x:c>
      <x:c r="G42" s="201" t="n">
        <x:v>0.15</x:v>
      </x:c>
      <x:c r="H42" s="195" t="n">
        <x:f>MAX(0,(D42-F42)*G42)</x:f>
        <x:v>0</x:v>
      </x:c>
      <x:c r="I42" s="159" t="n">
        <x:f>D42-F42-H42</x:f>
        <x:v>0</x:v>
      </x:c>
      <x:c r="J42" s="203" t="n">
        <x:f>IFERROR(I42/C42,0)</x:f>
        <x:v>0</x:v>
      </x:c>
      <x:c r="K42" s="149" t="str">
        <x:f>IFERROR(VLOOKUP(A42,'재고·판매'!$A$5:$J$104,5,FALSE),0)</x:f>
      </x:c>
      <x:c r="L42" s="159" t="n">
        <x:f>I42*K42</x:f>
        <x:v>0</x:v>
      </x:c>
    </x:row>
    <x:row r="43">
      <x:c r="A43" s="135"/>
      <x:c r="B43" t="str">
        <x:f>IFERROR(VLOOKUP(A43,'상품 손익'!$A$5:$N$104,2,FALSE),"")</x:f>
      </x:c>
      <x:c r="C43" s="159" t="str">
        <x:f>IFERROR(VLOOKUP(A43,'상품 손익'!$A$5:$N$104,7,FALSE),0)</x:f>
      </x:c>
      <x:c r="D43" s="159" t="n">
        <x:f>IFERROR(VLOOKUP(A43,'상품 손익'!$A$5:$N$104,13,FALSE),0)</x:f>
        <x:v>0</x:v>
      </x:c>
      <x:c r="E43" s="199" t="n">
        <x:v>0.1</x:v>
      </x:c>
      <x:c r="F43" s="195" t="n">
        <x:f>IF(C43=0,0,C43*E43/(1+E43))</x:f>
        <x:v>0</x:v>
      </x:c>
      <x:c r="G43" s="201" t="n">
        <x:v>0.15</x:v>
      </x:c>
      <x:c r="H43" s="195" t="n">
        <x:f>MAX(0,(D43-F43)*G43)</x:f>
        <x:v>0</x:v>
      </x:c>
      <x:c r="I43" s="159" t="n">
        <x:f>D43-F43-H43</x:f>
        <x:v>0</x:v>
      </x:c>
      <x:c r="J43" s="203" t="n">
        <x:f>IFERROR(I43/C43,0)</x:f>
        <x:v>0</x:v>
      </x:c>
      <x:c r="K43" s="149" t="str">
        <x:f>IFERROR(VLOOKUP(A43,'재고·판매'!$A$5:$J$104,5,FALSE),0)</x:f>
      </x:c>
      <x:c r="L43" s="159" t="n">
        <x:f>I43*K43</x:f>
        <x:v>0</x:v>
      </x:c>
    </x:row>
    <x:row r="44">
      <x:c r="A44" s="135"/>
      <x:c r="B44" t="str">
        <x:f>IFERROR(VLOOKUP(A44,'상품 손익'!$A$5:$N$104,2,FALSE),"")</x:f>
      </x:c>
      <x:c r="C44" s="159" t="str">
        <x:f>IFERROR(VLOOKUP(A44,'상품 손익'!$A$5:$N$104,7,FALSE),0)</x:f>
      </x:c>
      <x:c r="D44" s="159" t="n">
        <x:f>IFERROR(VLOOKUP(A44,'상품 손익'!$A$5:$N$104,13,FALSE),0)</x:f>
        <x:v>0</x:v>
      </x:c>
      <x:c r="E44" s="199" t="n">
        <x:v>0.1</x:v>
      </x:c>
      <x:c r="F44" s="195" t="n">
        <x:f>IF(C44=0,0,C44*E44/(1+E44))</x:f>
        <x:v>0</x:v>
      </x:c>
      <x:c r="G44" s="201" t="n">
        <x:v>0.15</x:v>
      </x:c>
      <x:c r="H44" s="195" t="n">
        <x:f>MAX(0,(D44-F44)*G44)</x:f>
        <x:v>0</x:v>
      </x:c>
      <x:c r="I44" s="159" t="n">
        <x:f>D44-F44-H44</x:f>
        <x:v>0</x:v>
      </x:c>
      <x:c r="J44" s="203" t="n">
        <x:f>IFERROR(I44/C44,0)</x:f>
        <x:v>0</x:v>
      </x:c>
      <x:c r="K44" s="149" t="str">
        <x:f>IFERROR(VLOOKUP(A44,'재고·판매'!$A$5:$J$104,5,FALSE),0)</x:f>
      </x:c>
      <x:c r="L44" s="159" t="n">
        <x:f>I44*K44</x:f>
        <x:v>0</x:v>
      </x:c>
    </x:row>
    <x:row r="45">
      <x:c r="A45" s="135"/>
      <x:c r="B45" t="str">
        <x:f>IFERROR(VLOOKUP(A45,'상품 손익'!$A$5:$N$104,2,FALSE),"")</x:f>
      </x:c>
      <x:c r="C45" s="159" t="str">
        <x:f>IFERROR(VLOOKUP(A45,'상품 손익'!$A$5:$N$104,7,FALSE),0)</x:f>
      </x:c>
      <x:c r="D45" s="159" t="n">
        <x:f>IFERROR(VLOOKUP(A45,'상품 손익'!$A$5:$N$104,13,FALSE),0)</x:f>
        <x:v>0</x:v>
      </x:c>
      <x:c r="E45" s="199" t="n">
        <x:v>0.1</x:v>
      </x:c>
      <x:c r="F45" s="195" t="n">
        <x:f>IF(C45=0,0,C45*E45/(1+E45))</x:f>
        <x:v>0</x:v>
      </x:c>
      <x:c r="G45" s="201" t="n">
        <x:v>0.15</x:v>
      </x:c>
      <x:c r="H45" s="195" t="n">
        <x:f>MAX(0,(D45-F45)*G45)</x:f>
        <x:v>0</x:v>
      </x:c>
      <x:c r="I45" s="159" t="n">
        <x:f>D45-F45-H45</x:f>
        <x:v>0</x:v>
      </x:c>
      <x:c r="J45" s="203" t="n">
        <x:f>IFERROR(I45/C45,0)</x:f>
        <x:v>0</x:v>
      </x:c>
      <x:c r="K45" s="149" t="str">
        <x:f>IFERROR(VLOOKUP(A45,'재고·판매'!$A$5:$J$104,5,FALSE),0)</x:f>
      </x:c>
      <x:c r="L45" s="159" t="n">
        <x:f>I45*K45</x:f>
        <x:v>0</x:v>
      </x:c>
    </x:row>
    <x:row r="46">
      <x:c r="A46" s="135"/>
      <x:c r="B46" t="str">
        <x:f>IFERROR(VLOOKUP(A46,'상품 손익'!$A$5:$N$104,2,FALSE),"")</x:f>
      </x:c>
      <x:c r="C46" s="159" t="str">
        <x:f>IFERROR(VLOOKUP(A46,'상품 손익'!$A$5:$N$104,7,FALSE),0)</x:f>
      </x:c>
      <x:c r="D46" s="159" t="n">
        <x:f>IFERROR(VLOOKUP(A46,'상품 손익'!$A$5:$N$104,13,FALSE),0)</x:f>
        <x:v>0</x:v>
      </x:c>
      <x:c r="E46" s="199" t="n">
        <x:v>0.1</x:v>
      </x:c>
      <x:c r="F46" s="195" t="n">
        <x:f>IF(C46=0,0,C46*E46/(1+E46))</x:f>
        <x:v>0</x:v>
      </x:c>
      <x:c r="G46" s="201" t="n">
        <x:v>0.15</x:v>
      </x:c>
      <x:c r="H46" s="195" t="n">
        <x:f>MAX(0,(D46-F46)*G46)</x:f>
        <x:v>0</x:v>
      </x:c>
      <x:c r="I46" s="159" t="n">
        <x:f>D46-F46-H46</x:f>
        <x:v>0</x:v>
      </x:c>
      <x:c r="J46" s="203" t="n">
        <x:f>IFERROR(I46/C46,0)</x:f>
        <x:v>0</x:v>
      </x:c>
      <x:c r="K46" s="149" t="str">
        <x:f>IFERROR(VLOOKUP(A46,'재고·판매'!$A$5:$J$104,5,FALSE),0)</x:f>
      </x:c>
      <x:c r="L46" s="159" t="n">
        <x:f>I46*K46</x:f>
        <x:v>0</x:v>
      </x:c>
    </x:row>
    <x:row r="47">
      <x:c r="A47" s="135"/>
      <x:c r="B47" t="str">
        <x:f>IFERROR(VLOOKUP(A47,'상품 손익'!$A$5:$N$104,2,FALSE),"")</x:f>
      </x:c>
      <x:c r="C47" s="159" t="str">
        <x:f>IFERROR(VLOOKUP(A47,'상품 손익'!$A$5:$N$104,7,FALSE),0)</x:f>
      </x:c>
      <x:c r="D47" s="159" t="n">
        <x:f>IFERROR(VLOOKUP(A47,'상품 손익'!$A$5:$N$104,13,FALSE),0)</x:f>
        <x:v>0</x:v>
      </x:c>
      <x:c r="E47" s="199" t="n">
        <x:v>0.1</x:v>
      </x:c>
      <x:c r="F47" s="195" t="n">
        <x:f>IF(C47=0,0,C47*E47/(1+E47))</x:f>
        <x:v>0</x:v>
      </x:c>
      <x:c r="G47" s="201" t="n">
        <x:v>0.15</x:v>
      </x:c>
      <x:c r="H47" s="195" t="n">
        <x:f>MAX(0,(D47-F47)*G47)</x:f>
        <x:v>0</x:v>
      </x:c>
      <x:c r="I47" s="159" t="n">
        <x:f>D47-F47-H47</x:f>
        <x:v>0</x:v>
      </x:c>
      <x:c r="J47" s="203" t="n">
        <x:f>IFERROR(I47/C47,0)</x:f>
        <x:v>0</x:v>
      </x:c>
      <x:c r="K47" s="149" t="str">
        <x:f>IFERROR(VLOOKUP(A47,'재고·판매'!$A$5:$J$104,5,FALSE),0)</x:f>
      </x:c>
      <x:c r="L47" s="159" t="n">
        <x:f>I47*K47</x:f>
        <x:v>0</x:v>
      </x:c>
    </x:row>
    <x:row r="48">
      <x:c r="A48" s="135"/>
      <x:c r="B48" t="str">
        <x:f>IFERROR(VLOOKUP(A48,'상품 손익'!$A$5:$N$104,2,FALSE),"")</x:f>
      </x:c>
      <x:c r="C48" s="159" t="str">
        <x:f>IFERROR(VLOOKUP(A48,'상품 손익'!$A$5:$N$104,7,FALSE),0)</x:f>
      </x:c>
      <x:c r="D48" s="159" t="n">
        <x:f>IFERROR(VLOOKUP(A48,'상품 손익'!$A$5:$N$104,13,FALSE),0)</x:f>
        <x:v>0</x:v>
      </x:c>
      <x:c r="E48" s="199" t="n">
        <x:v>0.1</x:v>
      </x:c>
      <x:c r="F48" s="195" t="n">
        <x:f>IF(C48=0,0,C48*E48/(1+E48))</x:f>
        <x:v>0</x:v>
      </x:c>
      <x:c r="G48" s="201" t="n">
        <x:v>0.15</x:v>
      </x:c>
      <x:c r="H48" s="195" t="n">
        <x:f>MAX(0,(D48-F48)*G48)</x:f>
        <x:v>0</x:v>
      </x:c>
      <x:c r="I48" s="159" t="n">
        <x:f>D48-F48-H48</x:f>
        <x:v>0</x:v>
      </x:c>
      <x:c r="J48" s="203" t="n">
        <x:f>IFERROR(I48/C48,0)</x:f>
        <x:v>0</x:v>
      </x:c>
      <x:c r="K48" s="149" t="str">
        <x:f>IFERROR(VLOOKUP(A48,'재고·판매'!$A$5:$J$104,5,FALSE),0)</x:f>
      </x:c>
      <x:c r="L48" s="159" t="n">
        <x:f>I48*K48</x:f>
        <x:v>0</x:v>
      </x:c>
    </x:row>
    <x:row r="49">
      <x:c r="A49" s="135"/>
      <x:c r="B49" t="str">
        <x:f>IFERROR(VLOOKUP(A49,'상품 손익'!$A$5:$N$104,2,FALSE),"")</x:f>
      </x:c>
      <x:c r="C49" s="159" t="str">
        <x:f>IFERROR(VLOOKUP(A49,'상품 손익'!$A$5:$N$104,7,FALSE),0)</x:f>
      </x:c>
      <x:c r="D49" s="159" t="n">
        <x:f>IFERROR(VLOOKUP(A49,'상품 손익'!$A$5:$N$104,13,FALSE),0)</x:f>
        <x:v>0</x:v>
      </x:c>
      <x:c r="E49" s="199" t="n">
        <x:v>0.1</x:v>
      </x:c>
      <x:c r="F49" s="195" t="n">
        <x:f>IF(C49=0,0,C49*E49/(1+E49))</x:f>
        <x:v>0</x:v>
      </x:c>
      <x:c r="G49" s="201" t="n">
        <x:v>0.15</x:v>
      </x:c>
      <x:c r="H49" s="195" t="n">
        <x:f>MAX(0,(D49-F49)*G49)</x:f>
        <x:v>0</x:v>
      </x:c>
      <x:c r="I49" s="159" t="n">
        <x:f>D49-F49-H49</x:f>
        <x:v>0</x:v>
      </x:c>
      <x:c r="J49" s="203" t="n">
        <x:f>IFERROR(I49/C49,0)</x:f>
        <x:v>0</x:v>
      </x:c>
      <x:c r="K49" s="149" t="str">
        <x:f>IFERROR(VLOOKUP(A49,'재고·판매'!$A$5:$J$104,5,FALSE),0)</x:f>
      </x:c>
      <x:c r="L49" s="159" t="n">
        <x:f>I49*K49</x:f>
        <x:v>0</x:v>
      </x:c>
    </x:row>
    <x:row r="50">
      <x:c r="A50" s="135"/>
      <x:c r="B50" t="str">
        <x:f>IFERROR(VLOOKUP(A50,'상품 손익'!$A$5:$N$104,2,FALSE),"")</x:f>
      </x:c>
      <x:c r="C50" s="159" t="str">
        <x:f>IFERROR(VLOOKUP(A50,'상품 손익'!$A$5:$N$104,7,FALSE),0)</x:f>
      </x:c>
      <x:c r="D50" s="159" t="n">
        <x:f>IFERROR(VLOOKUP(A50,'상품 손익'!$A$5:$N$104,13,FALSE),0)</x:f>
        <x:v>0</x:v>
      </x:c>
      <x:c r="E50" s="199" t="n">
        <x:v>0.1</x:v>
      </x:c>
      <x:c r="F50" s="195" t="n">
        <x:f>IF(C50=0,0,C50*E50/(1+E50))</x:f>
        <x:v>0</x:v>
      </x:c>
      <x:c r="G50" s="201" t="n">
        <x:v>0.15</x:v>
      </x:c>
      <x:c r="H50" s="195" t="n">
        <x:f>MAX(0,(D50-F50)*G50)</x:f>
        <x:v>0</x:v>
      </x:c>
      <x:c r="I50" s="159" t="n">
        <x:f>D50-F50-H50</x:f>
        <x:v>0</x:v>
      </x:c>
      <x:c r="J50" s="203" t="n">
        <x:f>IFERROR(I50/C50,0)</x:f>
        <x:v>0</x:v>
      </x:c>
      <x:c r="K50" s="149" t="str">
        <x:f>IFERROR(VLOOKUP(A50,'재고·판매'!$A$5:$J$104,5,FALSE),0)</x:f>
      </x:c>
      <x:c r="L50" s="159" t="n">
        <x:f>I50*K50</x:f>
        <x:v>0</x:v>
      </x:c>
    </x:row>
    <x:row r="51">
      <x:c r="A51" s="135"/>
      <x:c r="B51" t="str">
        <x:f>IFERROR(VLOOKUP(A51,'상품 손익'!$A$5:$N$104,2,FALSE),"")</x:f>
      </x:c>
      <x:c r="C51" s="159" t="str">
        <x:f>IFERROR(VLOOKUP(A51,'상품 손익'!$A$5:$N$104,7,FALSE),0)</x:f>
      </x:c>
      <x:c r="D51" s="159" t="n">
        <x:f>IFERROR(VLOOKUP(A51,'상품 손익'!$A$5:$N$104,13,FALSE),0)</x:f>
        <x:v>0</x:v>
      </x:c>
      <x:c r="E51" s="199" t="n">
        <x:v>0.1</x:v>
      </x:c>
      <x:c r="F51" s="195" t="n">
        <x:f>IF(C51=0,0,C51*E51/(1+E51))</x:f>
        <x:v>0</x:v>
      </x:c>
      <x:c r="G51" s="201" t="n">
        <x:v>0.15</x:v>
      </x:c>
      <x:c r="H51" s="195" t="n">
        <x:f>MAX(0,(D51-F51)*G51)</x:f>
        <x:v>0</x:v>
      </x:c>
      <x:c r="I51" s="159" t="n">
        <x:f>D51-F51-H51</x:f>
        <x:v>0</x:v>
      </x:c>
      <x:c r="J51" s="203" t="n">
        <x:f>IFERROR(I51/C51,0)</x:f>
        <x:v>0</x:v>
      </x:c>
      <x:c r="K51" s="149" t="str">
        <x:f>IFERROR(VLOOKUP(A51,'재고·판매'!$A$5:$J$104,5,FALSE),0)</x:f>
      </x:c>
      <x:c r="L51" s="159" t="n">
        <x:f>I51*K51</x:f>
        <x:v>0</x:v>
      </x:c>
    </x:row>
    <x:row r="52">
      <x:c r="A52" s="135"/>
      <x:c r="B52" t="str">
        <x:f>IFERROR(VLOOKUP(A52,'상품 손익'!$A$5:$N$104,2,FALSE),"")</x:f>
      </x:c>
      <x:c r="C52" s="159" t="str">
        <x:f>IFERROR(VLOOKUP(A52,'상품 손익'!$A$5:$N$104,7,FALSE),0)</x:f>
      </x:c>
      <x:c r="D52" s="159" t="n">
        <x:f>IFERROR(VLOOKUP(A52,'상품 손익'!$A$5:$N$104,13,FALSE),0)</x:f>
        <x:v>0</x:v>
      </x:c>
      <x:c r="E52" s="199" t="n">
        <x:v>0.1</x:v>
      </x:c>
      <x:c r="F52" s="195" t="n">
        <x:f>IF(C52=0,0,C52*E52/(1+E52))</x:f>
        <x:v>0</x:v>
      </x:c>
      <x:c r="G52" s="201" t="n">
        <x:v>0.15</x:v>
      </x:c>
      <x:c r="H52" s="195" t="n">
        <x:f>MAX(0,(D52-F52)*G52)</x:f>
        <x:v>0</x:v>
      </x:c>
      <x:c r="I52" s="159" t="n">
        <x:f>D52-F52-H52</x:f>
        <x:v>0</x:v>
      </x:c>
      <x:c r="J52" s="203" t="n">
        <x:f>IFERROR(I52/C52,0)</x:f>
        <x:v>0</x:v>
      </x:c>
      <x:c r="K52" s="149" t="str">
        <x:f>IFERROR(VLOOKUP(A52,'재고·판매'!$A$5:$J$104,5,FALSE),0)</x:f>
      </x:c>
      <x:c r="L52" s="159" t="n">
        <x:f>I52*K52</x:f>
        <x:v>0</x:v>
      </x:c>
    </x:row>
    <x:row r="53">
      <x:c r="A53" s="135"/>
      <x:c r="B53" t="str">
        <x:f>IFERROR(VLOOKUP(A53,'상품 손익'!$A$5:$N$104,2,FALSE),"")</x:f>
      </x:c>
      <x:c r="C53" s="159" t="str">
        <x:f>IFERROR(VLOOKUP(A53,'상품 손익'!$A$5:$N$104,7,FALSE),0)</x:f>
      </x:c>
      <x:c r="D53" s="159" t="n">
        <x:f>IFERROR(VLOOKUP(A53,'상품 손익'!$A$5:$N$104,13,FALSE),0)</x:f>
        <x:v>0</x:v>
      </x:c>
      <x:c r="E53" s="199" t="n">
        <x:v>0.1</x:v>
      </x:c>
      <x:c r="F53" s="195" t="n">
        <x:f>IF(C53=0,0,C53*E53/(1+E53))</x:f>
        <x:v>0</x:v>
      </x:c>
      <x:c r="G53" s="201" t="n">
        <x:v>0.15</x:v>
      </x:c>
      <x:c r="H53" s="195" t="n">
        <x:f>MAX(0,(D53-F53)*G53)</x:f>
        <x:v>0</x:v>
      </x:c>
      <x:c r="I53" s="159" t="n">
        <x:f>D53-F53-H53</x:f>
        <x:v>0</x:v>
      </x:c>
      <x:c r="J53" s="203" t="n">
        <x:f>IFERROR(I53/C53,0)</x:f>
        <x:v>0</x:v>
      </x:c>
      <x:c r="K53" s="149" t="str">
        <x:f>IFERROR(VLOOKUP(A53,'재고·판매'!$A$5:$J$104,5,FALSE),0)</x:f>
      </x:c>
      <x:c r="L53" s="159" t="n">
        <x:f>I53*K53</x:f>
        <x:v>0</x:v>
      </x:c>
    </x:row>
    <x:row r="54">
      <x:c r="A54" s="135"/>
      <x:c r="B54" t="str">
        <x:f>IFERROR(VLOOKUP(A54,'상품 손익'!$A$5:$N$104,2,FALSE),"")</x:f>
      </x:c>
      <x:c r="C54" s="159" t="str">
        <x:f>IFERROR(VLOOKUP(A54,'상품 손익'!$A$5:$N$104,7,FALSE),0)</x:f>
      </x:c>
      <x:c r="D54" s="159" t="n">
        <x:f>IFERROR(VLOOKUP(A54,'상품 손익'!$A$5:$N$104,13,FALSE),0)</x:f>
        <x:v>0</x:v>
      </x:c>
      <x:c r="E54" s="199" t="n">
        <x:v>0.1</x:v>
      </x:c>
      <x:c r="F54" s="195" t="n">
        <x:f>IF(C54=0,0,C54*E54/(1+E54))</x:f>
        <x:v>0</x:v>
      </x:c>
      <x:c r="G54" s="201" t="n">
        <x:v>0.15</x:v>
      </x:c>
      <x:c r="H54" s="195" t="n">
        <x:f>MAX(0,(D54-F54)*G54)</x:f>
        <x:v>0</x:v>
      </x:c>
      <x:c r="I54" s="159" t="n">
        <x:f>D54-F54-H54</x:f>
        <x:v>0</x:v>
      </x:c>
      <x:c r="J54" s="203" t="n">
        <x:f>IFERROR(I54/C54,0)</x:f>
        <x:v>0</x:v>
      </x:c>
      <x:c r="K54" s="149" t="str">
        <x:f>IFERROR(VLOOKUP(A54,'재고·판매'!$A$5:$J$104,5,FALSE),0)</x:f>
      </x:c>
      <x:c r="L54" s="159" t="n">
        <x:f>I54*K54</x:f>
        <x:v>0</x:v>
      </x:c>
    </x:row>
    <x:row r="55">
      <x:c r="A55" s="135"/>
      <x:c r="B55" t="str">
        <x:f>IFERROR(VLOOKUP(A55,'상품 손익'!$A$5:$N$104,2,FALSE),"")</x:f>
      </x:c>
      <x:c r="C55" s="159" t="str">
        <x:f>IFERROR(VLOOKUP(A55,'상품 손익'!$A$5:$N$104,7,FALSE),0)</x:f>
      </x:c>
      <x:c r="D55" s="159" t="n">
        <x:f>IFERROR(VLOOKUP(A55,'상품 손익'!$A$5:$N$104,13,FALSE),0)</x:f>
        <x:v>0</x:v>
      </x:c>
      <x:c r="E55" s="199" t="n">
        <x:v>0.1</x:v>
      </x:c>
      <x:c r="F55" s="195" t="n">
        <x:f>IF(C55=0,0,C55*E55/(1+E55))</x:f>
        <x:v>0</x:v>
      </x:c>
      <x:c r="G55" s="201" t="n">
        <x:v>0.15</x:v>
      </x:c>
      <x:c r="H55" s="195" t="n">
        <x:f>MAX(0,(D55-F55)*G55)</x:f>
        <x:v>0</x:v>
      </x:c>
      <x:c r="I55" s="159" t="n">
        <x:f>D55-F55-H55</x:f>
        <x:v>0</x:v>
      </x:c>
      <x:c r="J55" s="203" t="n">
        <x:f>IFERROR(I55/C55,0)</x:f>
        <x:v>0</x:v>
      </x:c>
      <x:c r="K55" s="149" t="str">
        <x:f>IFERROR(VLOOKUP(A55,'재고·판매'!$A$5:$J$104,5,FALSE),0)</x:f>
      </x:c>
      <x:c r="L55" s="159" t="n">
        <x:f>I55*K55</x:f>
        <x:v>0</x:v>
      </x:c>
    </x:row>
    <x:row r="56">
      <x:c r="A56" s="135"/>
      <x:c r="B56" t="str">
        <x:f>IFERROR(VLOOKUP(A56,'상품 손익'!$A$5:$N$104,2,FALSE),"")</x:f>
      </x:c>
      <x:c r="C56" s="159" t="str">
        <x:f>IFERROR(VLOOKUP(A56,'상품 손익'!$A$5:$N$104,7,FALSE),0)</x:f>
      </x:c>
      <x:c r="D56" s="159" t="n">
        <x:f>IFERROR(VLOOKUP(A56,'상품 손익'!$A$5:$N$104,13,FALSE),0)</x:f>
        <x:v>0</x:v>
      </x:c>
      <x:c r="E56" s="199" t="n">
        <x:v>0.1</x:v>
      </x:c>
      <x:c r="F56" s="195" t="n">
        <x:f>IF(C56=0,0,C56*E56/(1+E56))</x:f>
        <x:v>0</x:v>
      </x:c>
      <x:c r="G56" s="201" t="n">
        <x:v>0.15</x:v>
      </x:c>
      <x:c r="H56" s="195" t="n">
        <x:f>MAX(0,(D56-F56)*G56)</x:f>
        <x:v>0</x:v>
      </x:c>
      <x:c r="I56" s="159" t="n">
        <x:f>D56-F56-H56</x:f>
        <x:v>0</x:v>
      </x:c>
      <x:c r="J56" s="203" t="n">
        <x:f>IFERROR(I56/C56,0)</x:f>
        <x:v>0</x:v>
      </x:c>
      <x:c r="K56" s="149" t="str">
        <x:f>IFERROR(VLOOKUP(A56,'재고·판매'!$A$5:$J$104,5,FALSE),0)</x:f>
      </x:c>
      <x:c r="L56" s="159" t="n">
        <x:f>I56*K56</x:f>
        <x:v>0</x:v>
      </x:c>
    </x:row>
    <x:row r="57">
      <x:c r="A57" s="135"/>
      <x:c r="B57" t="str">
        <x:f>IFERROR(VLOOKUP(A57,'상품 손익'!$A$5:$N$104,2,FALSE),"")</x:f>
      </x:c>
      <x:c r="C57" s="159" t="str">
        <x:f>IFERROR(VLOOKUP(A57,'상품 손익'!$A$5:$N$104,7,FALSE),0)</x:f>
      </x:c>
      <x:c r="D57" s="159" t="n">
        <x:f>IFERROR(VLOOKUP(A57,'상품 손익'!$A$5:$N$104,13,FALSE),0)</x:f>
        <x:v>0</x:v>
      </x:c>
      <x:c r="E57" s="199" t="n">
        <x:v>0.1</x:v>
      </x:c>
      <x:c r="F57" s="195" t="n">
        <x:f>IF(C57=0,0,C57*E57/(1+E57))</x:f>
        <x:v>0</x:v>
      </x:c>
      <x:c r="G57" s="201" t="n">
        <x:v>0.15</x:v>
      </x:c>
      <x:c r="H57" s="195" t="n">
        <x:f>MAX(0,(D57-F57)*G57)</x:f>
        <x:v>0</x:v>
      </x:c>
      <x:c r="I57" s="159" t="n">
        <x:f>D57-F57-H57</x:f>
        <x:v>0</x:v>
      </x:c>
      <x:c r="J57" s="203" t="n">
        <x:f>IFERROR(I57/C57,0)</x:f>
        <x:v>0</x:v>
      </x:c>
      <x:c r="K57" s="149" t="str">
        <x:f>IFERROR(VLOOKUP(A57,'재고·판매'!$A$5:$J$104,5,FALSE),0)</x:f>
      </x:c>
      <x:c r="L57" s="159" t="n">
        <x:f>I57*K57</x:f>
        <x:v>0</x:v>
      </x:c>
    </x:row>
    <x:row r="58">
      <x:c r="A58" s="135"/>
      <x:c r="B58" t="str">
        <x:f>IFERROR(VLOOKUP(A58,'상품 손익'!$A$5:$N$104,2,FALSE),"")</x:f>
      </x:c>
      <x:c r="C58" s="159" t="str">
        <x:f>IFERROR(VLOOKUP(A58,'상품 손익'!$A$5:$N$104,7,FALSE),0)</x:f>
      </x:c>
      <x:c r="D58" s="159" t="n">
        <x:f>IFERROR(VLOOKUP(A58,'상품 손익'!$A$5:$N$104,13,FALSE),0)</x:f>
        <x:v>0</x:v>
      </x:c>
      <x:c r="E58" s="199" t="n">
        <x:v>0.1</x:v>
      </x:c>
      <x:c r="F58" s="195" t="n">
        <x:f>IF(C58=0,0,C58*E58/(1+E58))</x:f>
        <x:v>0</x:v>
      </x:c>
      <x:c r="G58" s="201" t="n">
        <x:v>0.15</x:v>
      </x:c>
      <x:c r="H58" s="195" t="n">
        <x:f>MAX(0,(D58-F58)*G58)</x:f>
        <x:v>0</x:v>
      </x:c>
      <x:c r="I58" s="159" t="n">
        <x:f>D58-F58-H58</x:f>
        <x:v>0</x:v>
      </x:c>
      <x:c r="J58" s="203" t="n">
        <x:f>IFERROR(I58/C58,0)</x:f>
        <x:v>0</x:v>
      </x:c>
      <x:c r="K58" s="149" t="str">
        <x:f>IFERROR(VLOOKUP(A58,'재고·판매'!$A$5:$J$104,5,FALSE),0)</x:f>
      </x:c>
      <x:c r="L58" s="159" t="n">
        <x:f>I58*K58</x:f>
        <x:v>0</x:v>
      </x:c>
    </x:row>
    <x:row r="59">
      <x:c r="A59" s="135"/>
      <x:c r="B59" t="str">
        <x:f>IFERROR(VLOOKUP(A59,'상품 손익'!$A$5:$N$104,2,FALSE),"")</x:f>
      </x:c>
      <x:c r="C59" s="159" t="str">
        <x:f>IFERROR(VLOOKUP(A59,'상품 손익'!$A$5:$N$104,7,FALSE),0)</x:f>
      </x:c>
      <x:c r="D59" s="159" t="n">
        <x:f>IFERROR(VLOOKUP(A59,'상품 손익'!$A$5:$N$104,13,FALSE),0)</x:f>
        <x:v>0</x:v>
      </x:c>
      <x:c r="E59" s="199" t="n">
        <x:v>0.1</x:v>
      </x:c>
      <x:c r="F59" s="195" t="n">
        <x:f>IF(C59=0,0,C59*E59/(1+E59))</x:f>
        <x:v>0</x:v>
      </x:c>
      <x:c r="G59" s="201" t="n">
        <x:v>0.15</x:v>
      </x:c>
      <x:c r="H59" s="195" t="n">
        <x:f>MAX(0,(D59-F59)*G59)</x:f>
        <x:v>0</x:v>
      </x:c>
      <x:c r="I59" s="159" t="n">
        <x:f>D59-F59-H59</x:f>
        <x:v>0</x:v>
      </x:c>
      <x:c r="J59" s="203" t="n">
        <x:f>IFERROR(I59/C59,0)</x:f>
        <x:v>0</x:v>
      </x:c>
      <x:c r="K59" s="149" t="str">
        <x:f>IFERROR(VLOOKUP(A59,'재고·판매'!$A$5:$J$104,5,FALSE),0)</x:f>
      </x:c>
      <x:c r="L59" s="159" t="n">
        <x:f>I59*K59</x:f>
        <x:v>0</x:v>
      </x:c>
    </x:row>
    <x:row r="60">
      <x:c r="A60" s="135"/>
      <x:c r="B60" t="str">
        <x:f>IFERROR(VLOOKUP(A60,'상품 손익'!$A$5:$N$104,2,FALSE),"")</x:f>
      </x:c>
      <x:c r="C60" s="159" t="str">
        <x:f>IFERROR(VLOOKUP(A60,'상품 손익'!$A$5:$N$104,7,FALSE),0)</x:f>
      </x:c>
      <x:c r="D60" s="159" t="n">
        <x:f>IFERROR(VLOOKUP(A60,'상품 손익'!$A$5:$N$104,13,FALSE),0)</x:f>
        <x:v>0</x:v>
      </x:c>
      <x:c r="E60" s="199" t="n">
        <x:v>0.1</x:v>
      </x:c>
      <x:c r="F60" s="195" t="n">
        <x:f>IF(C60=0,0,C60*E60/(1+E60))</x:f>
        <x:v>0</x:v>
      </x:c>
      <x:c r="G60" s="201" t="n">
        <x:v>0.15</x:v>
      </x:c>
      <x:c r="H60" s="195" t="n">
        <x:f>MAX(0,(D60-F60)*G60)</x:f>
        <x:v>0</x:v>
      </x:c>
      <x:c r="I60" s="159" t="n">
        <x:f>D60-F60-H60</x:f>
        <x:v>0</x:v>
      </x:c>
      <x:c r="J60" s="203" t="n">
        <x:f>IFERROR(I60/C60,0)</x:f>
        <x:v>0</x:v>
      </x:c>
      <x:c r="K60" s="149" t="str">
        <x:f>IFERROR(VLOOKUP(A60,'재고·판매'!$A$5:$J$104,5,FALSE),0)</x:f>
      </x:c>
      <x:c r="L60" s="159" t="n">
        <x:f>I60*K60</x:f>
        <x:v>0</x:v>
      </x:c>
    </x:row>
    <x:row r="61">
      <x:c r="A61" s="135"/>
      <x:c r="B61" t="str">
        <x:f>IFERROR(VLOOKUP(A61,'상품 손익'!$A$5:$N$104,2,FALSE),"")</x:f>
      </x:c>
      <x:c r="C61" s="159" t="str">
        <x:f>IFERROR(VLOOKUP(A61,'상품 손익'!$A$5:$N$104,7,FALSE),0)</x:f>
      </x:c>
      <x:c r="D61" s="159" t="n">
        <x:f>IFERROR(VLOOKUP(A61,'상품 손익'!$A$5:$N$104,13,FALSE),0)</x:f>
        <x:v>0</x:v>
      </x:c>
      <x:c r="E61" s="199" t="n">
        <x:v>0.1</x:v>
      </x:c>
      <x:c r="F61" s="195" t="n">
        <x:f>IF(C61=0,0,C61*E61/(1+E61))</x:f>
        <x:v>0</x:v>
      </x:c>
      <x:c r="G61" s="201" t="n">
        <x:v>0.15</x:v>
      </x:c>
      <x:c r="H61" s="195" t="n">
        <x:f>MAX(0,(D61-F61)*G61)</x:f>
        <x:v>0</x:v>
      </x:c>
      <x:c r="I61" s="159" t="n">
        <x:f>D61-F61-H61</x:f>
        <x:v>0</x:v>
      </x:c>
      <x:c r="J61" s="203" t="n">
        <x:f>IFERROR(I61/C61,0)</x:f>
        <x:v>0</x:v>
      </x:c>
      <x:c r="K61" s="149" t="str">
        <x:f>IFERROR(VLOOKUP(A61,'재고·판매'!$A$5:$J$104,5,FALSE),0)</x:f>
      </x:c>
      <x:c r="L61" s="159" t="n">
        <x:f>I61*K61</x:f>
        <x:v>0</x:v>
      </x:c>
    </x:row>
    <x:row r="62">
      <x:c r="A62" s="135"/>
      <x:c r="B62" t="str">
        <x:f>IFERROR(VLOOKUP(A62,'상품 손익'!$A$5:$N$104,2,FALSE),"")</x:f>
      </x:c>
      <x:c r="C62" s="159" t="str">
        <x:f>IFERROR(VLOOKUP(A62,'상품 손익'!$A$5:$N$104,7,FALSE),0)</x:f>
      </x:c>
      <x:c r="D62" s="159" t="n">
        <x:f>IFERROR(VLOOKUP(A62,'상품 손익'!$A$5:$N$104,13,FALSE),0)</x:f>
        <x:v>0</x:v>
      </x:c>
      <x:c r="E62" s="199" t="n">
        <x:v>0.1</x:v>
      </x:c>
      <x:c r="F62" s="195" t="n">
        <x:f>IF(C62=0,0,C62*E62/(1+E62))</x:f>
        <x:v>0</x:v>
      </x:c>
      <x:c r="G62" s="201" t="n">
        <x:v>0.15</x:v>
      </x:c>
      <x:c r="H62" s="195" t="n">
        <x:f>MAX(0,(D62-F62)*G62)</x:f>
        <x:v>0</x:v>
      </x:c>
      <x:c r="I62" s="159" t="n">
        <x:f>D62-F62-H62</x:f>
        <x:v>0</x:v>
      </x:c>
      <x:c r="J62" s="203" t="n">
        <x:f>IFERROR(I62/C62,0)</x:f>
        <x:v>0</x:v>
      </x:c>
      <x:c r="K62" s="149" t="str">
        <x:f>IFERROR(VLOOKUP(A62,'재고·판매'!$A$5:$J$104,5,FALSE),0)</x:f>
      </x:c>
      <x:c r="L62" s="159" t="n">
        <x:f>I62*K62</x:f>
        <x:v>0</x:v>
      </x:c>
    </x:row>
    <x:row r="63">
      <x:c r="A63" s="135"/>
      <x:c r="B63" t="str">
        <x:f>IFERROR(VLOOKUP(A63,'상품 손익'!$A$5:$N$104,2,FALSE),"")</x:f>
      </x:c>
      <x:c r="C63" s="159" t="str">
        <x:f>IFERROR(VLOOKUP(A63,'상품 손익'!$A$5:$N$104,7,FALSE),0)</x:f>
      </x:c>
      <x:c r="D63" s="159" t="n">
        <x:f>IFERROR(VLOOKUP(A63,'상품 손익'!$A$5:$N$104,13,FALSE),0)</x:f>
        <x:v>0</x:v>
      </x:c>
      <x:c r="E63" s="199" t="n">
        <x:v>0.1</x:v>
      </x:c>
      <x:c r="F63" s="195" t="n">
        <x:f>IF(C63=0,0,C63*E63/(1+E63))</x:f>
        <x:v>0</x:v>
      </x:c>
      <x:c r="G63" s="201" t="n">
        <x:v>0.15</x:v>
      </x:c>
      <x:c r="H63" s="195" t="n">
        <x:f>MAX(0,(D63-F63)*G63)</x:f>
        <x:v>0</x:v>
      </x:c>
      <x:c r="I63" s="159" t="n">
        <x:f>D63-F63-H63</x:f>
        <x:v>0</x:v>
      </x:c>
      <x:c r="J63" s="203" t="n">
        <x:f>IFERROR(I63/C63,0)</x:f>
        <x:v>0</x:v>
      </x:c>
      <x:c r="K63" s="149" t="str">
        <x:f>IFERROR(VLOOKUP(A63,'재고·판매'!$A$5:$J$104,5,FALSE),0)</x:f>
      </x:c>
      <x:c r="L63" s="159" t="n">
        <x:f>I63*K63</x:f>
        <x:v>0</x:v>
      </x:c>
    </x:row>
    <x:row r="64">
      <x:c r="A64" s="135"/>
      <x:c r="B64" t="str">
        <x:f>IFERROR(VLOOKUP(A64,'상품 손익'!$A$5:$N$104,2,FALSE),"")</x:f>
      </x:c>
      <x:c r="C64" s="159" t="str">
        <x:f>IFERROR(VLOOKUP(A64,'상품 손익'!$A$5:$N$104,7,FALSE),0)</x:f>
      </x:c>
      <x:c r="D64" s="159" t="n">
        <x:f>IFERROR(VLOOKUP(A64,'상품 손익'!$A$5:$N$104,13,FALSE),0)</x:f>
        <x:v>0</x:v>
      </x:c>
      <x:c r="E64" s="199" t="n">
        <x:v>0.1</x:v>
      </x:c>
      <x:c r="F64" s="195" t="n">
        <x:f>IF(C64=0,0,C64*E64/(1+E64))</x:f>
        <x:v>0</x:v>
      </x:c>
      <x:c r="G64" s="201" t="n">
        <x:v>0.15</x:v>
      </x:c>
      <x:c r="H64" s="195" t="n">
        <x:f>MAX(0,(D64-F64)*G64)</x:f>
        <x:v>0</x:v>
      </x:c>
      <x:c r="I64" s="159" t="n">
        <x:f>D64-F64-H64</x:f>
        <x:v>0</x:v>
      </x:c>
      <x:c r="J64" s="203" t="n">
        <x:f>IFERROR(I64/C64,0)</x:f>
        <x:v>0</x:v>
      </x:c>
      <x:c r="K64" s="149" t="str">
        <x:f>IFERROR(VLOOKUP(A64,'재고·판매'!$A$5:$J$104,5,FALSE),0)</x:f>
      </x:c>
      <x:c r="L64" s="159" t="n">
        <x:f>I64*K64</x:f>
        <x:v>0</x:v>
      </x:c>
    </x:row>
    <x:row r="65">
      <x:c r="A65" s="135"/>
      <x:c r="B65" t="str">
        <x:f>IFERROR(VLOOKUP(A65,'상품 손익'!$A$5:$N$104,2,FALSE),"")</x:f>
      </x:c>
      <x:c r="C65" s="159" t="str">
        <x:f>IFERROR(VLOOKUP(A65,'상품 손익'!$A$5:$N$104,7,FALSE),0)</x:f>
      </x:c>
      <x:c r="D65" s="159" t="n">
        <x:f>IFERROR(VLOOKUP(A65,'상품 손익'!$A$5:$N$104,13,FALSE),0)</x:f>
        <x:v>0</x:v>
      </x:c>
      <x:c r="E65" s="199" t="n">
        <x:v>0.1</x:v>
      </x:c>
      <x:c r="F65" s="195" t="n">
        <x:f>IF(C65=0,0,C65*E65/(1+E65))</x:f>
        <x:v>0</x:v>
      </x:c>
      <x:c r="G65" s="201" t="n">
        <x:v>0.15</x:v>
      </x:c>
      <x:c r="H65" s="195" t="n">
        <x:f>MAX(0,(D65-F65)*G65)</x:f>
        <x:v>0</x:v>
      </x:c>
      <x:c r="I65" s="159" t="n">
        <x:f>D65-F65-H65</x:f>
        <x:v>0</x:v>
      </x:c>
      <x:c r="J65" s="203" t="n">
        <x:f>IFERROR(I65/C65,0)</x:f>
        <x:v>0</x:v>
      </x:c>
      <x:c r="K65" s="149" t="str">
        <x:f>IFERROR(VLOOKUP(A65,'재고·판매'!$A$5:$J$104,5,FALSE),0)</x:f>
      </x:c>
      <x:c r="L65" s="159" t="n">
        <x:f>I65*K65</x:f>
        <x:v>0</x:v>
      </x:c>
    </x:row>
    <x:row r="66">
      <x:c r="A66" s="135"/>
      <x:c r="B66" t="str">
        <x:f>IFERROR(VLOOKUP(A66,'상품 손익'!$A$5:$N$104,2,FALSE),"")</x:f>
      </x:c>
      <x:c r="C66" s="159" t="str">
        <x:f>IFERROR(VLOOKUP(A66,'상품 손익'!$A$5:$N$104,7,FALSE),0)</x:f>
      </x:c>
      <x:c r="D66" s="159" t="n">
        <x:f>IFERROR(VLOOKUP(A66,'상품 손익'!$A$5:$N$104,13,FALSE),0)</x:f>
        <x:v>0</x:v>
      </x:c>
      <x:c r="E66" s="199" t="n">
        <x:v>0.1</x:v>
      </x:c>
      <x:c r="F66" s="195" t="n">
        <x:f>IF(C66=0,0,C66*E66/(1+E66))</x:f>
        <x:v>0</x:v>
      </x:c>
      <x:c r="G66" s="201" t="n">
        <x:v>0.15</x:v>
      </x:c>
      <x:c r="H66" s="195" t="n">
        <x:f>MAX(0,(D66-F66)*G66)</x:f>
        <x:v>0</x:v>
      </x:c>
      <x:c r="I66" s="159" t="n">
        <x:f>D66-F66-H66</x:f>
        <x:v>0</x:v>
      </x:c>
      <x:c r="J66" s="203" t="n">
        <x:f>IFERROR(I66/C66,0)</x:f>
        <x:v>0</x:v>
      </x:c>
      <x:c r="K66" s="149" t="str">
        <x:f>IFERROR(VLOOKUP(A66,'재고·판매'!$A$5:$J$104,5,FALSE),0)</x:f>
      </x:c>
      <x:c r="L66" s="159" t="n">
        <x:f>I66*K66</x:f>
        <x:v>0</x:v>
      </x:c>
    </x:row>
    <x:row r="67">
      <x:c r="A67" s="135"/>
      <x:c r="B67" t="str">
        <x:f>IFERROR(VLOOKUP(A67,'상품 손익'!$A$5:$N$104,2,FALSE),"")</x:f>
      </x:c>
      <x:c r="C67" s="159" t="str">
        <x:f>IFERROR(VLOOKUP(A67,'상품 손익'!$A$5:$N$104,7,FALSE),0)</x:f>
      </x:c>
      <x:c r="D67" s="159" t="n">
        <x:f>IFERROR(VLOOKUP(A67,'상품 손익'!$A$5:$N$104,13,FALSE),0)</x:f>
        <x:v>0</x:v>
      </x:c>
      <x:c r="E67" s="199" t="n">
        <x:v>0.1</x:v>
      </x:c>
      <x:c r="F67" s="195" t="n">
        <x:f>IF(C67=0,0,C67*E67/(1+E67))</x:f>
        <x:v>0</x:v>
      </x:c>
      <x:c r="G67" s="201" t="n">
        <x:v>0.15</x:v>
      </x:c>
      <x:c r="H67" s="195" t="n">
        <x:f>MAX(0,(D67-F67)*G67)</x:f>
        <x:v>0</x:v>
      </x:c>
      <x:c r="I67" s="159" t="n">
        <x:f>D67-F67-H67</x:f>
        <x:v>0</x:v>
      </x:c>
      <x:c r="J67" s="203" t="n">
        <x:f>IFERROR(I67/C67,0)</x:f>
        <x:v>0</x:v>
      </x:c>
      <x:c r="K67" s="149" t="str">
        <x:f>IFERROR(VLOOKUP(A67,'재고·판매'!$A$5:$J$104,5,FALSE),0)</x:f>
      </x:c>
      <x:c r="L67" s="159" t="n">
        <x:f>I67*K67</x:f>
        <x:v>0</x:v>
      </x:c>
    </x:row>
    <x:row r="68">
      <x:c r="A68" s="135"/>
      <x:c r="B68" t="str">
        <x:f>IFERROR(VLOOKUP(A68,'상품 손익'!$A$5:$N$104,2,FALSE),"")</x:f>
      </x:c>
      <x:c r="C68" s="159" t="str">
        <x:f>IFERROR(VLOOKUP(A68,'상품 손익'!$A$5:$N$104,7,FALSE),0)</x:f>
      </x:c>
      <x:c r="D68" s="159" t="n">
        <x:f>IFERROR(VLOOKUP(A68,'상품 손익'!$A$5:$N$104,13,FALSE),0)</x:f>
        <x:v>0</x:v>
      </x:c>
      <x:c r="E68" s="199" t="n">
        <x:v>0.1</x:v>
      </x:c>
      <x:c r="F68" s="195" t="n">
        <x:f>IF(C68=0,0,C68*E68/(1+E68))</x:f>
        <x:v>0</x:v>
      </x:c>
      <x:c r="G68" s="201" t="n">
        <x:v>0.15</x:v>
      </x:c>
      <x:c r="H68" s="195" t="n">
        <x:f>MAX(0,(D68-F68)*G68)</x:f>
        <x:v>0</x:v>
      </x:c>
      <x:c r="I68" s="159" t="n">
        <x:f>D68-F68-H68</x:f>
        <x:v>0</x:v>
      </x:c>
      <x:c r="J68" s="203" t="n">
        <x:f>IFERROR(I68/C68,0)</x:f>
        <x:v>0</x:v>
      </x:c>
      <x:c r="K68" s="149" t="str">
        <x:f>IFERROR(VLOOKUP(A68,'재고·판매'!$A$5:$J$104,5,FALSE),0)</x:f>
      </x:c>
      <x:c r="L68" s="159" t="n">
        <x:f>I68*K68</x:f>
        <x:v>0</x:v>
      </x:c>
    </x:row>
    <x:row r="69">
      <x:c r="A69" s="135"/>
      <x:c r="B69" t="str">
        <x:f>IFERROR(VLOOKUP(A69,'상품 손익'!$A$5:$N$104,2,FALSE),"")</x:f>
      </x:c>
      <x:c r="C69" s="159" t="str">
        <x:f>IFERROR(VLOOKUP(A69,'상품 손익'!$A$5:$N$104,7,FALSE),0)</x:f>
      </x:c>
      <x:c r="D69" s="159" t="n">
        <x:f>IFERROR(VLOOKUP(A69,'상품 손익'!$A$5:$N$104,13,FALSE),0)</x:f>
        <x:v>0</x:v>
      </x:c>
      <x:c r="E69" s="199" t="n">
        <x:v>0.1</x:v>
      </x:c>
      <x:c r="F69" s="195" t="n">
        <x:f>IF(C69=0,0,C69*E69/(1+E69))</x:f>
        <x:v>0</x:v>
      </x:c>
      <x:c r="G69" s="201" t="n">
        <x:v>0.15</x:v>
      </x:c>
      <x:c r="H69" s="195" t="n">
        <x:f>MAX(0,(D69-F69)*G69)</x:f>
        <x:v>0</x:v>
      </x:c>
      <x:c r="I69" s="159" t="n">
        <x:f>D69-F69-H69</x:f>
        <x:v>0</x:v>
      </x:c>
      <x:c r="J69" s="203" t="n">
        <x:f>IFERROR(I69/C69,0)</x:f>
        <x:v>0</x:v>
      </x:c>
      <x:c r="K69" s="149" t="str">
        <x:f>IFERROR(VLOOKUP(A69,'재고·판매'!$A$5:$J$104,5,FALSE),0)</x:f>
      </x:c>
      <x:c r="L69" s="159" t="n">
        <x:f>I69*K69</x:f>
        <x:v>0</x:v>
      </x:c>
    </x:row>
    <x:row r="70">
      <x:c r="A70" s="135"/>
      <x:c r="B70" t="str">
        <x:f>IFERROR(VLOOKUP(A70,'상품 손익'!$A$5:$N$104,2,FALSE),"")</x:f>
      </x:c>
      <x:c r="C70" s="159" t="str">
        <x:f>IFERROR(VLOOKUP(A70,'상품 손익'!$A$5:$N$104,7,FALSE),0)</x:f>
      </x:c>
      <x:c r="D70" s="159" t="n">
        <x:f>IFERROR(VLOOKUP(A70,'상품 손익'!$A$5:$N$104,13,FALSE),0)</x:f>
        <x:v>0</x:v>
      </x:c>
      <x:c r="E70" s="199" t="n">
        <x:v>0.1</x:v>
      </x:c>
      <x:c r="F70" s="195" t="n">
        <x:f>IF(C70=0,0,C70*E70/(1+E70))</x:f>
        <x:v>0</x:v>
      </x:c>
      <x:c r="G70" s="201" t="n">
        <x:v>0.15</x:v>
      </x:c>
      <x:c r="H70" s="195" t="n">
        <x:f>MAX(0,(D70-F70)*G70)</x:f>
        <x:v>0</x:v>
      </x:c>
      <x:c r="I70" s="159" t="n">
        <x:f>D70-F70-H70</x:f>
        <x:v>0</x:v>
      </x:c>
      <x:c r="J70" s="203" t="n">
        <x:f>IFERROR(I70/C70,0)</x:f>
        <x:v>0</x:v>
      </x:c>
      <x:c r="K70" s="149" t="str">
        <x:f>IFERROR(VLOOKUP(A70,'재고·판매'!$A$5:$J$104,5,FALSE),0)</x:f>
      </x:c>
      <x:c r="L70" s="159" t="n">
        <x:f>I70*K70</x:f>
        <x:v>0</x:v>
      </x:c>
    </x:row>
    <x:row r="71">
      <x:c r="A71" s="135"/>
      <x:c r="B71" t="str">
        <x:f>IFERROR(VLOOKUP(A71,'상품 손익'!$A$5:$N$104,2,FALSE),"")</x:f>
      </x:c>
      <x:c r="C71" s="159" t="str">
        <x:f>IFERROR(VLOOKUP(A71,'상품 손익'!$A$5:$N$104,7,FALSE),0)</x:f>
      </x:c>
      <x:c r="D71" s="159" t="n">
        <x:f>IFERROR(VLOOKUP(A71,'상품 손익'!$A$5:$N$104,13,FALSE),0)</x:f>
        <x:v>0</x:v>
      </x:c>
      <x:c r="E71" s="199" t="n">
        <x:v>0.1</x:v>
      </x:c>
      <x:c r="F71" s="195" t="n">
        <x:f>IF(C71=0,0,C71*E71/(1+E71))</x:f>
        <x:v>0</x:v>
      </x:c>
      <x:c r="G71" s="201" t="n">
        <x:v>0.15</x:v>
      </x:c>
      <x:c r="H71" s="195" t="n">
        <x:f>MAX(0,(D71-F71)*G71)</x:f>
        <x:v>0</x:v>
      </x:c>
      <x:c r="I71" s="159" t="n">
        <x:f>D71-F71-H71</x:f>
        <x:v>0</x:v>
      </x:c>
      <x:c r="J71" s="203" t="n">
        <x:f>IFERROR(I71/C71,0)</x:f>
        <x:v>0</x:v>
      </x:c>
      <x:c r="K71" s="149" t="str">
        <x:f>IFERROR(VLOOKUP(A71,'재고·판매'!$A$5:$J$104,5,FALSE),0)</x:f>
      </x:c>
      <x:c r="L71" s="159" t="n">
        <x:f>I71*K71</x:f>
        <x:v>0</x:v>
      </x:c>
    </x:row>
    <x:row r="72">
      <x:c r="A72" s="135"/>
      <x:c r="B72" t="str">
        <x:f>IFERROR(VLOOKUP(A72,'상품 손익'!$A$5:$N$104,2,FALSE),"")</x:f>
      </x:c>
      <x:c r="C72" s="159" t="str">
        <x:f>IFERROR(VLOOKUP(A72,'상품 손익'!$A$5:$N$104,7,FALSE),0)</x:f>
      </x:c>
      <x:c r="D72" s="159" t="n">
        <x:f>IFERROR(VLOOKUP(A72,'상품 손익'!$A$5:$N$104,13,FALSE),0)</x:f>
        <x:v>0</x:v>
      </x:c>
      <x:c r="E72" s="199" t="n">
        <x:v>0.1</x:v>
      </x:c>
      <x:c r="F72" s="195" t="n">
        <x:f>IF(C72=0,0,C72*E72/(1+E72))</x:f>
        <x:v>0</x:v>
      </x:c>
      <x:c r="G72" s="201" t="n">
        <x:v>0.15</x:v>
      </x:c>
      <x:c r="H72" s="195" t="n">
        <x:f>MAX(0,(D72-F72)*G72)</x:f>
        <x:v>0</x:v>
      </x:c>
      <x:c r="I72" s="159" t="n">
        <x:f>D72-F72-H72</x:f>
        <x:v>0</x:v>
      </x:c>
      <x:c r="J72" s="203" t="n">
        <x:f>IFERROR(I72/C72,0)</x:f>
        <x:v>0</x:v>
      </x:c>
      <x:c r="K72" s="149" t="str">
        <x:f>IFERROR(VLOOKUP(A72,'재고·판매'!$A$5:$J$104,5,FALSE),0)</x:f>
      </x:c>
      <x:c r="L72" s="159" t="n">
        <x:f>I72*K72</x:f>
        <x:v>0</x:v>
      </x:c>
    </x:row>
    <x:row r="73">
      <x:c r="A73" s="135"/>
      <x:c r="B73" t="str">
        <x:f>IFERROR(VLOOKUP(A73,'상품 손익'!$A$5:$N$104,2,FALSE),"")</x:f>
      </x:c>
      <x:c r="C73" s="159" t="str">
        <x:f>IFERROR(VLOOKUP(A73,'상품 손익'!$A$5:$N$104,7,FALSE),0)</x:f>
      </x:c>
      <x:c r="D73" s="159" t="n">
        <x:f>IFERROR(VLOOKUP(A73,'상품 손익'!$A$5:$N$104,13,FALSE),0)</x:f>
        <x:v>0</x:v>
      </x:c>
      <x:c r="E73" s="199" t="n">
        <x:v>0.1</x:v>
      </x:c>
      <x:c r="F73" s="195" t="n">
        <x:f>IF(C73=0,0,C73*E73/(1+E73))</x:f>
        <x:v>0</x:v>
      </x:c>
      <x:c r="G73" s="201" t="n">
        <x:v>0.15</x:v>
      </x:c>
      <x:c r="H73" s="195" t="n">
        <x:f>MAX(0,(D73-F73)*G73)</x:f>
        <x:v>0</x:v>
      </x:c>
      <x:c r="I73" s="159" t="n">
        <x:f>D73-F73-H73</x:f>
        <x:v>0</x:v>
      </x:c>
      <x:c r="J73" s="203" t="n">
        <x:f>IFERROR(I73/C73,0)</x:f>
        <x:v>0</x:v>
      </x:c>
      <x:c r="K73" s="149" t="str">
        <x:f>IFERROR(VLOOKUP(A73,'재고·판매'!$A$5:$J$104,5,FALSE),0)</x:f>
      </x:c>
      <x:c r="L73" s="159" t="n">
        <x:f>I73*K73</x:f>
        <x:v>0</x:v>
      </x:c>
    </x:row>
    <x:row r="74">
      <x:c r="A74" s="135"/>
      <x:c r="B74" t="str">
        <x:f>IFERROR(VLOOKUP(A74,'상품 손익'!$A$5:$N$104,2,FALSE),"")</x:f>
      </x:c>
      <x:c r="C74" s="159" t="str">
        <x:f>IFERROR(VLOOKUP(A74,'상품 손익'!$A$5:$N$104,7,FALSE),0)</x:f>
      </x:c>
      <x:c r="D74" s="159" t="n">
        <x:f>IFERROR(VLOOKUP(A74,'상품 손익'!$A$5:$N$104,13,FALSE),0)</x:f>
        <x:v>0</x:v>
      </x:c>
      <x:c r="E74" s="199" t="n">
        <x:v>0.1</x:v>
      </x:c>
      <x:c r="F74" s="195" t="n">
        <x:f>IF(C74=0,0,C74*E74/(1+E74))</x:f>
        <x:v>0</x:v>
      </x:c>
      <x:c r="G74" s="201" t="n">
        <x:v>0.15</x:v>
      </x:c>
      <x:c r="H74" s="195" t="n">
        <x:f>MAX(0,(D74-F74)*G74)</x:f>
        <x:v>0</x:v>
      </x:c>
      <x:c r="I74" s="159" t="n">
        <x:f>D74-F74-H74</x:f>
        <x:v>0</x:v>
      </x:c>
      <x:c r="J74" s="203" t="n">
        <x:f>IFERROR(I74/C74,0)</x:f>
        <x:v>0</x:v>
      </x:c>
      <x:c r="K74" s="149" t="str">
        <x:f>IFERROR(VLOOKUP(A74,'재고·판매'!$A$5:$J$104,5,FALSE),0)</x:f>
      </x:c>
      <x:c r="L74" s="159" t="n">
        <x:f>I74*K74</x:f>
        <x:v>0</x:v>
      </x:c>
    </x:row>
    <x:row r="75">
      <x:c r="A75" s="135"/>
      <x:c r="B75" t="str">
        <x:f>IFERROR(VLOOKUP(A75,'상품 손익'!$A$5:$N$104,2,FALSE),"")</x:f>
      </x:c>
      <x:c r="C75" s="159" t="str">
        <x:f>IFERROR(VLOOKUP(A75,'상품 손익'!$A$5:$N$104,7,FALSE),0)</x:f>
      </x:c>
      <x:c r="D75" s="159" t="n">
        <x:f>IFERROR(VLOOKUP(A75,'상품 손익'!$A$5:$N$104,13,FALSE),0)</x:f>
        <x:v>0</x:v>
      </x:c>
      <x:c r="E75" s="199" t="n">
        <x:v>0.1</x:v>
      </x:c>
      <x:c r="F75" s="195" t="n">
        <x:f>IF(C75=0,0,C75*E75/(1+E75))</x:f>
        <x:v>0</x:v>
      </x:c>
      <x:c r="G75" s="201" t="n">
        <x:v>0.15</x:v>
      </x:c>
      <x:c r="H75" s="195" t="n">
        <x:f>MAX(0,(D75-F75)*G75)</x:f>
        <x:v>0</x:v>
      </x:c>
      <x:c r="I75" s="159" t="n">
        <x:f>D75-F75-H75</x:f>
        <x:v>0</x:v>
      </x:c>
      <x:c r="J75" s="203" t="n">
        <x:f>IFERROR(I75/C75,0)</x:f>
        <x:v>0</x:v>
      </x:c>
      <x:c r="K75" s="149" t="str">
        <x:f>IFERROR(VLOOKUP(A75,'재고·판매'!$A$5:$J$104,5,FALSE),0)</x:f>
      </x:c>
      <x:c r="L75" s="159" t="n">
        <x:f>I75*K75</x:f>
        <x:v>0</x:v>
      </x:c>
    </x:row>
    <x:row r="76">
      <x:c r="A76" s="135"/>
      <x:c r="B76" t="str">
        <x:f>IFERROR(VLOOKUP(A76,'상품 손익'!$A$5:$N$104,2,FALSE),"")</x:f>
      </x:c>
      <x:c r="C76" s="159" t="str">
        <x:f>IFERROR(VLOOKUP(A76,'상품 손익'!$A$5:$N$104,7,FALSE),0)</x:f>
      </x:c>
      <x:c r="D76" s="159" t="n">
        <x:f>IFERROR(VLOOKUP(A76,'상품 손익'!$A$5:$N$104,13,FALSE),0)</x:f>
        <x:v>0</x:v>
      </x:c>
      <x:c r="E76" s="199" t="n">
        <x:v>0.1</x:v>
      </x:c>
      <x:c r="F76" s="195" t="n">
        <x:f>IF(C76=0,0,C76*E76/(1+E76))</x:f>
        <x:v>0</x:v>
      </x:c>
      <x:c r="G76" s="201" t="n">
        <x:v>0.15</x:v>
      </x:c>
      <x:c r="H76" s="195" t="n">
        <x:f>MAX(0,(D76-F76)*G76)</x:f>
        <x:v>0</x:v>
      </x:c>
      <x:c r="I76" s="159" t="n">
        <x:f>D76-F76-H76</x:f>
        <x:v>0</x:v>
      </x:c>
      <x:c r="J76" s="203" t="n">
        <x:f>IFERROR(I76/C76,0)</x:f>
        <x:v>0</x:v>
      </x:c>
      <x:c r="K76" s="149" t="str">
        <x:f>IFERROR(VLOOKUP(A76,'재고·판매'!$A$5:$J$104,5,FALSE),0)</x:f>
      </x:c>
      <x:c r="L76" s="159" t="n">
        <x:f>I76*K76</x:f>
        <x:v>0</x:v>
      </x:c>
    </x:row>
    <x:row r="77">
      <x:c r="A77" s="135"/>
      <x:c r="B77" t="str">
        <x:f>IFERROR(VLOOKUP(A77,'상품 손익'!$A$5:$N$104,2,FALSE),"")</x:f>
      </x:c>
      <x:c r="C77" s="159" t="str">
        <x:f>IFERROR(VLOOKUP(A77,'상품 손익'!$A$5:$N$104,7,FALSE),0)</x:f>
      </x:c>
      <x:c r="D77" s="159" t="n">
        <x:f>IFERROR(VLOOKUP(A77,'상품 손익'!$A$5:$N$104,13,FALSE),0)</x:f>
        <x:v>0</x:v>
      </x:c>
      <x:c r="E77" s="199" t="n">
        <x:v>0.1</x:v>
      </x:c>
      <x:c r="F77" s="195" t="n">
        <x:f>IF(C77=0,0,C77*E77/(1+E77))</x:f>
        <x:v>0</x:v>
      </x:c>
      <x:c r="G77" s="201" t="n">
        <x:v>0.15</x:v>
      </x:c>
      <x:c r="H77" s="195" t="n">
        <x:f>MAX(0,(D77-F77)*G77)</x:f>
        <x:v>0</x:v>
      </x:c>
      <x:c r="I77" s="159" t="n">
        <x:f>D77-F77-H77</x:f>
        <x:v>0</x:v>
      </x:c>
      <x:c r="J77" s="203" t="n">
        <x:f>IFERROR(I77/C77,0)</x:f>
        <x:v>0</x:v>
      </x:c>
      <x:c r="K77" s="149" t="str">
        <x:f>IFERROR(VLOOKUP(A77,'재고·판매'!$A$5:$J$104,5,FALSE),0)</x:f>
      </x:c>
      <x:c r="L77" s="159" t="n">
        <x:f>I77*K77</x:f>
        <x:v>0</x:v>
      </x:c>
    </x:row>
    <x:row r="78">
      <x:c r="A78" s="135"/>
      <x:c r="B78" t="str">
        <x:f>IFERROR(VLOOKUP(A78,'상품 손익'!$A$5:$N$104,2,FALSE),"")</x:f>
      </x:c>
      <x:c r="C78" s="159" t="str">
        <x:f>IFERROR(VLOOKUP(A78,'상품 손익'!$A$5:$N$104,7,FALSE),0)</x:f>
      </x:c>
      <x:c r="D78" s="159" t="n">
        <x:f>IFERROR(VLOOKUP(A78,'상품 손익'!$A$5:$N$104,13,FALSE),0)</x:f>
        <x:v>0</x:v>
      </x:c>
      <x:c r="E78" s="199" t="n">
        <x:v>0.1</x:v>
      </x:c>
      <x:c r="F78" s="195" t="n">
        <x:f>IF(C78=0,0,C78*E78/(1+E78))</x:f>
        <x:v>0</x:v>
      </x:c>
      <x:c r="G78" s="201" t="n">
        <x:v>0.15</x:v>
      </x:c>
      <x:c r="H78" s="195" t="n">
        <x:f>MAX(0,(D78-F78)*G78)</x:f>
        <x:v>0</x:v>
      </x:c>
      <x:c r="I78" s="159" t="n">
        <x:f>D78-F78-H78</x:f>
        <x:v>0</x:v>
      </x:c>
      <x:c r="J78" s="203" t="n">
        <x:f>IFERROR(I78/C78,0)</x:f>
        <x:v>0</x:v>
      </x:c>
      <x:c r="K78" s="149" t="str">
        <x:f>IFERROR(VLOOKUP(A78,'재고·판매'!$A$5:$J$104,5,FALSE),0)</x:f>
      </x:c>
      <x:c r="L78" s="159" t="n">
        <x:f>I78*K78</x:f>
        <x:v>0</x:v>
      </x:c>
    </x:row>
    <x:row r="79">
      <x:c r="A79" s="135"/>
      <x:c r="B79" t="str">
        <x:f>IFERROR(VLOOKUP(A79,'상품 손익'!$A$5:$N$104,2,FALSE),"")</x:f>
      </x:c>
      <x:c r="C79" s="159" t="str">
        <x:f>IFERROR(VLOOKUP(A79,'상품 손익'!$A$5:$N$104,7,FALSE),0)</x:f>
      </x:c>
      <x:c r="D79" s="159" t="n">
        <x:f>IFERROR(VLOOKUP(A79,'상품 손익'!$A$5:$N$104,13,FALSE),0)</x:f>
        <x:v>0</x:v>
      </x:c>
      <x:c r="E79" s="199" t="n">
        <x:v>0.1</x:v>
      </x:c>
      <x:c r="F79" s="195" t="n">
        <x:f>IF(C79=0,0,C79*E79/(1+E79))</x:f>
        <x:v>0</x:v>
      </x:c>
      <x:c r="G79" s="201" t="n">
        <x:v>0.15</x:v>
      </x:c>
      <x:c r="H79" s="195" t="n">
        <x:f>MAX(0,(D79-F79)*G79)</x:f>
        <x:v>0</x:v>
      </x:c>
      <x:c r="I79" s="159" t="n">
        <x:f>D79-F79-H79</x:f>
        <x:v>0</x:v>
      </x:c>
      <x:c r="J79" s="203" t="n">
        <x:f>IFERROR(I79/C79,0)</x:f>
        <x:v>0</x:v>
      </x:c>
      <x:c r="K79" s="149" t="str">
        <x:f>IFERROR(VLOOKUP(A79,'재고·판매'!$A$5:$J$104,5,FALSE),0)</x:f>
      </x:c>
      <x:c r="L79" s="159" t="n">
        <x:f>I79*K79</x:f>
        <x:v>0</x:v>
      </x:c>
    </x:row>
    <x:row r="80">
      <x:c r="A80" s="135"/>
      <x:c r="B80" t="str">
        <x:f>IFERROR(VLOOKUP(A80,'상품 손익'!$A$5:$N$104,2,FALSE),"")</x:f>
      </x:c>
      <x:c r="C80" s="159" t="str">
        <x:f>IFERROR(VLOOKUP(A80,'상품 손익'!$A$5:$N$104,7,FALSE),0)</x:f>
      </x:c>
      <x:c r="D80" s="159" t="n">
        <x:f>IFERROR(VLOOKUP(A80,'상품 손익'!$A$5:$N$104,13,FALSE),0)</x:f>
        <x:v>0</x:v>
      </x:c>
      <x:c r="E80" s="199" t="n">
        <x:v>0.1</x:v>
      </x:c>
      <x:c r="F80" s="195" t="n">
        <x:f>IF(C80=0,0,C80*E80/(1+E80))</x:f>
        <x:v>0</x:v>
      </x:c>
      <x:c r="G80" s="201" t="n">
        <x:v>0.15</x:v>
      </x:c>
      <x:c r="H80" s="195" t="n">
        <x:f>MAX(0,(D80-F80)*G80)</x:f>
        <x:v>0</x:v>
      </x:c>
      <x:c r="I80" s="159" t="n">
        <x:f>D80-F80-H80</x:f>
        <x:v>0</x:v>
      </x:c>
      <x:c r="J80" s="203" t="n">
        <x:f>IFERROR(I80/C80,0)</x:f>
        <x:v>0</x:v>
      </x:c>
      <x:c r="K80" s="149" t="str">
        <x:f>IFERROR(VLOOKUP(A80,'재고·판매'!$A$5:$J$104,5,FALSE),0)</x:f>
      </x:c>
      <x:c r="L80" s="159" t="n">
        <x:f>I80*K80</x:f>
        <x:v>0</x:v>
      </x:c>
    </x:row>
    <x:row r="81">
      <x:c r="A81" s="135"/>
      <x:c r="B81" t="str">
        <x:f>IFERROR(VLOOKUP(A81,'상품 손익'!$A$5:$N$104,2,FALSE),"")</x:f>
      </x:c>
      <x:c r="C81" s="159" t="str">
        <x:f>IFERROR(VLOOKUP(A81,'상품 손익'!$A$5:$N$104,7,FALSE),0)</x:f>
      </x:c>
      <x:c r="D81" s="159" t="n">
        <x:f>IFERROR(VLOOKUP(A81,'상품 손익'!$A$5:$N$104,13,FALSE),0)</x:f>
        <x:v>0</x:v>
      </x:c>
      <x:c r="E81" s="199" t="n">
        <x:v>0.1</x:v>
      </x:c>
      <x:c r="F81" s="195" t="n">
        <x:f>IF(C81=0,0,C81*E81/(1+E81))</x:f>
        <x:v>0</x:v>
      </x:c>
      <x:c r="G81" s="201" t="n">
        <x:v>0.15</x:v>
      </x:c>
      <x:c r="H81" s="195" t="n">
        <x:f>MAX(0,(D81-F81)*G81)</x:f>
        <x:v>0</x:v>
      </x:c>
      <x:c r="I81" s="159" t="n">
        <x:f>D81-F81-H81</x:f>
        <x:v>0</x:v>
      </x:c>
      <x:c r="J81" s="203" t="n">
        <x:f>IFERROR(I81/C81,0)</x:f>
        <x:v>0</x:v>
      </x:c>
      <x:c r="K81" s="149" t="str">
        <x:f>IFERROR(VLOOKUP(A81,'재고·판매'!$A$5:$J$104,5,FALSE),0)</x:f>
      </x:c>
      <x:c r="L81" s="159" t="n">
        <x:f>I81*K81</x:f>
        <x:v>0</x:v>
      </x:c>
    </x:row>
    <x:row r="82">
      <x:c r="A82" s="135"/>
      <x:c r="B82" t="str">
        <x:f>IFERROR(VLOOKUP(A82,'상품 손익'!$A$5:$N$104,2,FALSE),"")</x:f>
      </x:c>
      <x:c r="C82" s="159" t="str">
        <x:f>IFERROR(VLOOKUP(A82,'상품 손익'!$A$5:$N$104,7,FALSE),0)</x:f>
      </x:c>
      <x:c r="D82" s="159" t="n">
        <x:f>IFERROR(VLOOKUP(A82,'상품 손익'!$A$5:$N$104,13,FALSE),0)</x:f>
        <x:v>0</x:v>
      </x:c>
      <x:c r="E82" s="199" t="n">
        <x:v>0.1</x:v>
      </x:c>
      <x:c r="F82" s="195" t="n">
        <x:f>IF(C82=0,0,C82*E82/(1+E82))</x:f>
        <x:v>0</x:v>
      </x:c>
      <x:c r="G82" s="201" t="n">
        <x:v>0.15</x:v>
      </x:c>
      <x:c r="H82" s="195" t="n">
        <x:f>MAX(0,(D82-F82)*G82)</x:f>
        <x:v>0</x:v>
      </x:c>
      <x:c r="I82" s="159" t="n">
        <x:f>D82-F82-H82</x:f>
        <x:v>0</x:v>
      </x:c>
      <x:c r="J82" s="203" t="n">
        <x:f>IFERROR(I82/C82,0)</x:f>
        <x:v>0</x:v>
      </x:c>
      <x:c r="K82" s="149" t="str">
        <x:f>IFERROR(VLOOKUP(A82,'재고·판매'!$A$5:$J$104,5,FALSE),0)</x:f>
      </x:c>
      <x:c r="L82" s="159" t="n">
        <x:f>I82*K82</x:f>
        <x:v>0</x:v>
      </x:c>
    </x:row>
    <x:row r="83">
      <x:c r="A83" s="135"/>
      <x:c r="B83" t="str">
        <x:f>IFERROR(VLOOKUP(A83,'상품 손익'!$A$5:$N$104,2,FALSE),"")</x:f>
      </x:c>
      <x:c r="C83" s="159" t="str">
        <x:f>IFERROR(VLOOKUP(A83,'상품 손익'!$A$5:$N$104,7,FALSE),0)</x:f>
      </x:c>
      <x:c r="D83" s="159" t="n">
        <x:f>IFERROR(VLOOKUP(A83,'상품 손익'!$A$5:$N$104,13,FALSE),0)</x:f>
        <x:v>0</x:v>
      </x:c>
      <x:c r="E83" s="199" t="n">
        <x:v>0.1</x:v>
      </x:c>
      <x:c r="F83" s="195" t="n">
        <x:f>IF(C83=0,0,C83*E83/(1+E83))</x:f>
        <x:v>0</x:v>
      </x:c>
      <x:c r="G83" s="201" t="n">
        <x:v>0.15</x:v>
      </x:c>
      <x:c r="H83" s="195" t="n">
        <x:f>MAX(0,(D83-F83)*G83)</x:f>
        <x:v>0</x:v>
      </x:c>
      <x:c r="I83" s="159" t="n">
        <x:f>D83-F83-H83</x:f>
        <x:v>0</x:v>
      </x:c>
      <x:c r="J83" s="203" t="n">
        <x:f>IFERROR(I83/C83,0)</x:f>
        <x:v>0</x:v>
      </x:c>
      <x:c r="K83" s="149" t="str">
        <x:f>IFERROR(VLOOKUP(A83,'재고·판매'!$A$5:$J$104,5,FALSE),0)</x:f>
      </x:c>
      <x:c r="L83" s="159" t="n">
        <x:f>I83*K83</x:f>
        <x:v>0</x:v>
      </x:c>
    </x:row>
    <x:row r="84">
      <x:c r="A84" s="135"/>
      <x:c r="B84" t="str">
        <x:f>IFERROR(VLOOKUP(A84,'상품 손익'!$A$5:$N$104,2,FALSE),"")</x:f>
      </x:c>
      <x:c r="C84" s="159" t="str">
        <x:f>IFERROR(VLOOKUP(A84,'상품 손익'!$A$5:$N$104,7,FALSE),0)</x:f>
      </x:c>
      <x:c r="D84" s="159" t="n">
        <x:f>IFERROR(VLOOKUP(A84,'상품 손익'!$A$5:$N$104,13,FALSE),0)</x:f>
        <x:v>0</x:v>
      </x:c>
      <x:c r="E84" s="199" t="n">
        <x:v>0.1</x:v>
      </x:c>
      <x:c r="F84" s="195" t="n">
        <x:f>IF(C84=0,0,C84*E84/(1+E84))</x:f>
        <x:v>0</x:v>
      </x:c>
      <x:c r="G84" s="201" t="n">
        <x:v>0.15</x:v>
      </x:c>
      <x:c r="H84" s="195" t="n">
        <x:f>MAX(0,(D84-F84)*G84)</x:f>
        <x:v>0</x:v>
      </x:c>
      <x:c r="I84" s="159" t="n">
        <x:f>D84-F84-H84</x:f>
        <x:v>0</x:v>
      </x:c>
      <x:c r="J84" s="203" t="n">
        <x:f>IFERROR(I84/C84,0)</x:f>
        <x:v>0</x:v>
      </x:c>
      <x:c r="K84" s="149" t="str">
        <x:f>IFERROR(VLOOKUP(A84,'재고·판매'!$A$5:$J$104,5,FALSE),0)</x:f>
      </x:c>
      <x:c r="L84" s="159" t="n">
        <x:f>I84*K84</x:f>
        <x:v>0</x:v>
      </x:c>
    </x:row>
    <x:row r="85">
      <x:c r="A85" s="135"/>
      <x:c r="B85" t="str">
        <x:f>IFERROR(VLOOKUP(A85,'상품 손익'!$A$5:$N$104,2,FALSE),"")</x:f>
      </x:c>
      <x:c r="C85" s="159" t="str">
        <x:f>IFERROR(VLOOKUP(A85,'상품 손익'!$A$5:$N$104,7,FALSE),0)</x:f>
      </x:c>
      <x:c r="D85" s="159" t="n">
        <x:f>IFERROR(VLOOKUP(A85,'상품 손익'!$A$5:$N$104,13,FALSE),0)</x:f>
        <x:v>0</x:v>
      </x:c>
      <x:c r="E85" s="199" t="n">
        <x:v>0.1</x:v>
      </x:c>
      <x:c r="F85" s="195" t="n">
        <x:f>IF(C85=0,0,C85*E85/(1+E85))</x:f>
        <x:v>0</x:v>
      </x:c>
      <x:c r="G85" s="201" t="n">
        <x:v>0.15</x:v>
      </x:c>
      <x:c r="H85" s="195" t="n">
        <x:f>MAX(0,(D85-F85)*G85)</x:f>
        <x:v>0</x:v>
      </x:c>
      <x:c r="I85" s="159" t="n">
        <x:f>D85-F85-H85</x:f>
        <x:v>0</x:v>
      </x:c>
      <x:c r="J85" s="203" t="n">
        <x:f>IFERROR(I85/C85,0)</x:f>
        <x:v>0</x:v>
      </x:c>
      <x:c r="K85" s="149" t="str">
        <x:f>IFERROR(VLOOKUP(A85,'재고·판매'!$A$5:$J$104,5,FALSE),0)</x:f>
      </x:c>
      <x:c r="L85" s="159" t="n">
        <x:f>I85*K85</x:f>
        <x:v>0</x:v>
      </x:c>
    </x:row>
    <x:row r="86">
      <x:c r="A86" s="135"/>
      <x:c r="B86" t="str">
        <x:f>IFERROR(VLOOKUP(A86,'상품 손익'!$A$5:$N$104,2,FALSE),"")</x:f>
      </x:c>
      <x:c r="C86" s="159" t="str">
        <x:f>IFERROR(VLOOKUP(A86,'상품 손익'!$A$5:$N$104,7,FALSE),0)</x:f>
      </x:c>
      <x:c r="D86" s="159" t="n">
        <x:f>IFERROR(VLOOKUP(A86,'상품 손익'!$A$5:$N$104,13,FALSE),0)</x:f>
        <x:v>0</x:v>
      </x:c>
      <x:c r="E86" s="199" t="n">
        <x:v>0.1</x:v>
      </x:c>
      <x:c r="F86" s="195" t="n">
        <x:f>IF(C86=0,0,C86*E86/(1+E86))</x:f>
        <x:v>0</x:v>
      </x:c>
      <x:c r="G86" s="201" t="n">
        <x:v>0.15</x:v>
      </x:c>
      <x:c r="H86" s="195" t="n">
        <x:f>MAX(0,(D86-F86)*G86)</x:f>
        <x:v>0</x:v>
      </x:c>
      <x:c r="I86" s="159" t="n">
        <x:f>D86-F86-H86</x:f>
        <x:v>0</x:v>
      </x:c>
      <x:c r="J86" s="203" t="n">
        <x:f>IFERROR(I86/C86,0)</x:f>
        <x:v>0</x:v>
      </x:c>
      <x:c r="K86" s="149" t="str">
        <x:f>IFERROR(VLOOKUP(A86,'재고·판매'!$A$5:$J$104,5,FALSE),0)</x:f>
      </x:c>
      <x:c r="L86" s="159" t="n">
        <x:f>I86*K86</x:f>
        <x:v>0</x:v>
      </x:c>
    </x:row>
    <x:row r="87">
      <x:c r="A87" s="135"/>
      <x:c r="B87" t="str">
        <x:f>IFERROR(VLOOKUP(A87,'상품 손익'!$A$5:$N$104,2,FALSE),"")</x:f>
      </x:c>
      <x:c r="C87" s="159" t="str">
        <x:f>IFERROR(VLOOKUP(A87,'상품 손익'!$A$5:$N$104,7,FALSE),0)</x:f>
      </x:c>
      <x:c r="D87" s="159" t="n">
        <x:f>IFERROR(VLOOKUP(A87,'상품 손익'!$A$5:$N$104,13,FALSE),0)</x:f>
        <x:v>0</x:v>
      </x:c>
      <x:c r="E87" s="199" t="n">
        <x:v>0.1</x:v>
      </x:c>
      <x:c r="F87" s="195" t="n">
        <x:f>IF(C87=0,0,C87*E87/(1+E87))</x:f>
        <x:v>0</x:v>
      </x:c>
      <x:c r="G87" s="201" t="n">
        <x:v>0.15</x:v>
      </x:c>
      <x:c r="H87" s="195" t="n">
        <x:f>MAX(0,(D87-F87)*G87)</x:f>
        <x:v>0</x:v>
      </x:c>
      <x:c r="I87" s="159" t="n">
        <x:f>D87-F87-H87</x:f>
        <x:v>0</x:v>
      </x:c>
      <x:c r="J87" s="203" t="n">
        <x:f>IFERROR(I87/C87,0)</x:f>
        <x:v>0</x:v>
      </x:c>
      <x:c r="K87" s="149" t="str">
        <x:f>IFERROR(VLOOKUP(A87,'재고·판매'!$A$5:$J$104,5,FALSE),0)</x:f>
      </x:c>
      <x:c r="L87" s="159" t="n">
        <x:f>I87*K87</x:f>
        <x:v>0</x:v>
      </x:c>
    </x:row>
    <x:row r="88">
      <x:c r="A88" s="135"/>
      <x:c r="B88" t="str">
        <x:f>IFERROR(VLOOKUP(A88,'상품 손익'!$A$5:$N$104,2,FALSE),"")</x:f>
      </x:c>
      <x:c r="C88" s="159" t="str">
        <x:f>IFERROR(VLOOKUP(A88,'상품 손익'!$A$5:$N$104,7,FALSE),0)</x:f>
      </x:c>
      <x:c r="D88" s="159" t="n">
        <x:f>IFERROR(VLOOKUP(A88,'상품 손익'!$A$5:$N$104,13,FALSE),0)</x:f>
        <x:v>0</x:v>
      </x:c>
      <x:c r="E88" s="199" t="n">
        <x:v>0.1</x:v>
      </x:c>
      <x:c r="F88" s="195" t="n">
        <x:f>IF(C88=0,0,C88*E88/(1+E88))</x:f>
        <x:v>0</x:v>
      </x:c>
      <x:c r="G88" s="201" t="n">
        <x:v>0.15</x:v>
      </x:c>
      <x:c r="H88" s="195" t="n">
        <x:f>MAX(0,(D88-F88)*G88)</x:f>
        <x:v>0</x:v>
      </x:c>
      <x:c r="I88" s="159" t="n">
        <x:f>D88-F88-H88</x:f>
        <x:v>0</x:v>
      </x:c>
      <x:c r="J88" s="203" t="n">
        <x:f>IFERROR(I88/C88,0)</x:f>
        <x:v>0</x:v>
      </x:c>
      <x:c r="K88" s="149" t="str">
        <x:f>IFERROR(VLOOKUP(A88,'재고·판매'!$A$5:$J$104,5,FALSE),0)</x:f>
      </x:c>
      <x:c r="L88" s="159" t="n">
        <x:f>I88*K88</x:f>
        <x:v>0</x:v>
      </x:c>
    </x:row>
    <x:row r="89">
      <x:c r="A89" s="135"/>
      <x:c r="B89" t="str">
        <x:f>IFERROR(VLOOKUP(A89,'상품 손익'!$A$5:$N$104,2,FALSE),"")</x:f>
      </x:c>
      <x:c r="C89" s="159" t="str">
        <x:f>IFERROR(VLOOKUP(A89,'상품 손익'!$A$5:$N$104,7,FALSE),0)</x:f>
      </x:c>
      <x:c r="D89" s="159" t="n">
        <x:f>IFERROR(VLOOKUP(A89,'상품 손익'!$A$5:$N$104,13,FALSE),0)</x:f>
        <x:v>0</x:v>
      </x:c>
      <x:c r="E89" s="199" t="n">
        <x:v>0.1</x:v>
      </x:c>
      <x:c r="F89" s="195" t="n">
        <x:f>IF(C89=0,0,C89*E89/(1+E89))</x:f>
        <x:v>0</x:v>
      </x:c>
      <x:c r="G89" s="201" t="n">
        <x:v>0.15</x:v>
      </x:c>
      <x:c r="H89" s="195" t="n">
        <x:f>MAX(0,(D89-F89)*G89)</x:f>
        <x:v>0</x:v>
      </x:c>
      <x:c r="I89" s="159" t="n">
        <x:f>D89-F89-H89</x:f>
        <x:v>0</x:v>
      </x:c>
      <x:c r="J89" s="203" t="n">
        <x:f>IFERROR(I89/C89,0)</x:f>
        <x:v>0</x:v>
      </x:c>
      <x:c r="K89" s="149" t="str">
        <x:f>IFERROR(VLOOKUP(A89,'재고·판매'!$A$5:$J$104,5,FALSE),0)</x:f>
      </x:c>
      <x:c r="L89" s="159" t="n">
        <x:f>I89*K89</x:f>
        <x:v>0</x:v>
      </x:c>
    </x:row>
    <x:row r="90">
      <x:c r="A90" s="135"/>
      <x:c r="B90" t="str">
        <x:f>IFERROR(VLOOKUP(A90,'상품 손익'!$A$5:$N$104,2,FALSE),"")</x:f>
      </x:c>
      <x:c r="C90" s="159" t="str">
        <x:f>IFERROR(VLOOKUP(A90,'상품 손익'!$A$5:$N$104,7,FALSE),0)</x:f>
      </x:c>
      <x:c r="D90" s="159" t="n">
        <x:f>IFERROR(VLOOKUP(A90,'상품 손익'!$A$5:$N$104,13,FALSE),0)</x:f>
        <x:v>0</x:v>
      </x:c>
      <x:c r="E90" s="199" t="n">
        <x:v>0.1</x:v>
      </x:c>
      <x:c r="F90" s="195" t="n">
        <x:f>IF(C90=0,0,C90*E90/(1+E90))</x:f>
        <x:v>0</x:v>
      </x:c>
      <x:c r="G90" s="201" t="n">
        <x:v>0.15</x:v>
      </x:c>
      <x:c r="H90" s="195" t="n">
        <x:f>MAX(0,(D90-F90)*G90)</x:f>
        <x:v>0</x:v>
      </x:c>
      <x:c r="I90" s="159" t="n">
        <x:f>D90-F90-H90</x:f>
        <x:v>0</x:v>
      </x:c>
      <x:c r="J90" s="203" t="n">
        <x:f>IFERROR(I90/C90,0)</x:f>
        <x:v>0</x:v>
      </x:c>
      <x:c r="K90" s="149" t="str">
        <x:f>IFERROR(VLOOKUP(A90,'재고·판매'!$A$5:$J$104,5,FALSE),0)</x:f>
      </x:c>
      <x:c r="L90" s="159" t="n">
        <x:f>I90*K90</x:f>
        <x:v>0</x:v>
      </x:c>
    </x:row>
    <x:row r="91">
      <x:c r="A91" s="135"/>
      <x:c r="B91" t="str">
        <x:f>IFERROR(VLOOKUP(A91,'상품 손익'!$A$5:$N$104,2,FALSE),"")</x:f>
      </x:c>
      <x:c r="C91" s="159" t="str">
        <x:f>IFERROR(VLOOKUP(A91,'상품 손익'!$A$5:$N$104,7,FALSE),0)</x:f>
      </x:c>
      <x:c r="D91" s="159" t="n">
        <x:f>IFERROR(VLOOKUP(A91,'상품 손익'!$A$5:$N$104,13,FALSE),0)</x:f>
        <x:v>0</x:v>
      </x:c>
      <x:c r="E91" s="199" t="n">
        <x:v>0.1</x:v>
      </x:c>
      <x:c r="F91" s="195" t="n">
        <x:f>IF(C91=0,0,C91*E91/(1+E91))</x:f>
        <x:v>0</x:v>
      </x:c>
      <x:c r="G91" s="201" t="n">
        <x:v>0.15</x:v>
      </x:c>
      <x:c r="H91" s="195" t="n">
        <x:f>MAX(0,(D91-F91)*G91)</x:f>
        <x:v>0</x:v>
      </x:c>
      <x:c r="I91" s="159" t="n">
        <x:f>D91-F91-H91</x:f>
        <x:v>0</x:v>
      </x:c>
      <x:c r="J91" s="203" t="n">
        <x:f>IFERROR(I91/C91,0)</x:f>
        <x:v>0</x:v>
      </x:c>
      <x:c r="K91" s="149" t="str">
        <x:f>IFERROR(VLOOKUP(A91,'재고·판매'!$A$5:$J$104,5,FALSE),0)</x:f>
      </x:c>
      <x:c r="L91" s="159" t="n">
        <x:f>I91*K91</x:f>
        <x:v>0</x:v>
      </x:c>
    </x:row>
    <x:row r="92">
      <x:c r="A92" s="135"/>
      <x:c r="B92" t="str">
        <x:f>IFERROR(VLOOKUP(A92,'상품 손익'!$A$5:$N$104,2,FALSE),"")</x:f>
      </x:c>
      <x:c r="C92" s="159" t="str">
        <x:f>IFERROR(VLOOKUP(A92,'상품 손익'!$A$5:$N$104,7,FALSE),0)</x:f>
      </x:c>
      <x:c r="D92" s="159" t="n">
        <x:f>IFERROR(VLOOKUP(A92,'상품 손익'!$A$5:$N$104,13,FALSE),0)</x:f>
        <x:v>0</x:v>
      </x:c>
      <x:c r="E92" s="199" t="n">
        <x:v>0.1</x:v>
      </x:c>
      <x:c r="F92" s="195" t="n">
        <x:f>IF(C92=0,0,C92*E92/(1+E92))</x:f>
        <x:v>0</x:v>
      </x:c>
      <x:c r="G92" s="201" t="n">
        <x:v>0.15</x:v>
      </x:c>
      <x:c r="H92" s="195" t="n">
        <x:f>MAX(0,(D92-F92)*G92)</x:f>
        <x:v>0</x:v>
      </x:c>
      <x:c r="I92" s="159" t="n">
        <x:f>D92-F92-H92</x:f>
        <x:v>0</x:v>
      </x:c>
      <x:c r="J92" s="203" t="n">
        <x:f>IFERROR(I92/C92,0)</x:f>
        <x:v>0</x:v>
      </x:c>
      <x:c r="K92" s="149" t="str">
        <x:f>IFERROR(VLOOKUP(A92,'재고·판매'!$A$5:$J$104,5,FALSE),0)</x:f>
      </x:c>
      <x:c r="L92" s="159" t="n">
        <x:f>I92*K92</x:f>
        <x:v>0</x:v>
      </x:c>
    </x:row>
    <x:row r="93">
      <x:c r="A93" s="135"/>
      <x:c r="B93" t="str">
        <x:f>IFERROR(VLOOKUP(A93,'상품 손익'!$A$5:$N$104,2,FALSE),"")</x:f>
      </x:c>
      <x:c r="C93" s="159" t="str">
        <x:f>IFERROR(VLOOKUP(A93,'상품 손익'!$A$5:$N$104,7,FALSE),0)</x:f>
      </x:c>
      <x:c r="D93" s="159" t="n">
        <x:f>IFERROR(VLOOKUP(A93,'상품 손익'!$A$5:$N$104,13,FALSE),0)</x:f>
        <x:v>0</x:v>
      </x:c>
      <x:c r="E93" s="199" t="n">
        <x:v>0.1</x:v>
      </x:c>
      <x:c r="F93" s="195" t="n">
        <x:f>IF(C93=0,0,C93*E93/(1+E93))</x:f>
        <x:v>0</x:v>
      </x:c>
      <x:c r="G93" s="201" t="n">
        <x:v>0.15</x:v>
      </x:c>
      <x:c r="H93" s="195" t="n">
        <x:f>MAX(0,(D93-F93)*G93)</x:f>
        <x:v>0</x:v>
      </x:c>
      <x:c r="I93" s="159" t="n">
        <x:f>D93-F93-H93</x:f>
        <x:v>0</x:v>
      </x:c>
      <x:c r="J93" s="203" t="n">
        <x:f>IFERROR(I93/C93,0)</x:f>
        <x:v>0</x:v>
      </x:c>
      <x:c r="K93" s="149" t="str">
        <x:f>IFERROR(VLOOKUP(A93,'재고·판매'!$A$5:$J$104,5,FALSE),0)</x:f>
      </x:c>
      <x:c r="L93" s="159" t="n">
        <x:f>I93*K93</x:f>
        <x:v>0</x:v>
      </x:c>
    </x:row>
    <x:row r="94">
      <x:c r="A94" s="135"/>
      <x:c r="B94" t="str">
        <x:f>IFERROR(VLOOKUP(A94,'상품 손익'!$A$5:$N$104,2,FALSE),"")</x:f>
      </x:c>
      <x:c r="C94" s="159" t="str">
        <x:f>IFERROR(VLOOKUP(A94,'상품 손익'!$A$5:$N$104,7,FALSE),0)</x:f>
      </x:c>
      <x:c r="D94" s="159" t="n">
        <x:f>IFERROR(VLOOKUP(A94,'상품 손익'!$A$5:$N$104,13,FALSE),0)</x:f>
        <x:v>0</x:v>
      </x:c>
      <x:c r="E94" s="199" t="n">
        <x:v>0.1</x:v>
      </x:c>
      <x:c r="F94" s="195" t="n">
        <x:f>IF(C94=0,0,C94*E94/(1+E94))</x:f>
        <x:v>0</x:v>
      </x:c>
      <x:c r="G94" s="201" t="n">
        <x:v>0.15</x:v>
      </x:c>
      <x:c r="H94" s="195" t="n">
        <x:f>MAX(0,(D94-F94)*G94)</x:f>
        <x:v>0</x:v>
      </x:c>
      <x:c r="I94" s="159" t="n">
        <x:f>D94-F94-H94</x:f>
        <x:v>0</x:v>
      </x:c>
      <x:c r="J94" s="203" t="n">
        <x:f>IFERROR(I94/C94,0)</x:f>
        <x:v>0</x:v>
      </x:c>
      <x:c r="K94" s="149" t="str">
        <x:f>IFERROR(VLOOKUP(A94,'재고·판매'!$A$5:$J$104,5,FALSE),0)</x:f>
      </x:c>
      <x:c r="L94" s="159" t="n">
        <x:f>I94*K94</x:f>
        <x:v>0</x:v>
      </x:c>
    </x:row>
    <x:row r="95">
      <x:c r="A95" s="135"/>
      <x:c r="B95" t="str">
        <x:f>IFERROR(VLOOKUP(A95,'상품 손익'!$A$5:$N$104,2,FALSE),"")</x:f>
      </x:c>
      <x:c r="C95" s="159" t="str">
        <x:f>IFERROR(VLOOKUP(A95,'상품 손익'!$A$5:$N$104,7,FALSE),0)</x:f>
      </x:c>
      <x:c r="D95" s="159" t="n">
        <x:f>IFERROR(VLOOKUP(A95,'상품 손익'!$A$5:$N$104,13,FALSE),0)</x:f>
        <x:v>0</x:v>
      </x:c>
      <x:c r="E95" s="199" t="n">
        <x:v>0.1</x:v>
      </x:c>
      <x:c r="F95" s="195" t="n">
        <x:f>IF(C95=0,0,C95*E95/(1+E95))</x:f>
        <x:v>0</x:v>
      </x:c>
      <x:c r="G95" s="201" t="n">
        <x:v>0.15</x:v>
      </x:c>
      <x:c r="H95" s="195" t="n">
        <x:f>MAX(0,(D95-F95)*G95)</x:f>
        <x:v>0</x:v>
      </x:c>
      <x:c r="I95" s="159" t="n">
        <x:f>D95-F95-H95</x:f>
        <x:v>0</x:v>
      </x:c>
      <x:c r="J95" s="203" t="n">
        <x:f>IFERROR(I95/C95,0)</x:f>
        <x:v>0</x:v>
      </x:c>
      <x:c r="K95" s="149" t="str">
        <x:f>IFERROR(VLOOKUP(A95,'재고·판매'!$A$5:$J$104,5,FALSE),0)</x:f>
      </x:c>
      <x:c r="L95" s="159" t="n">
        <x:f>I95*K95</x:f>
        <x:v>0</x:v>
      </x:c>
    </x:row>
    <x:row r="96">
      <x:c r="A96" s="135"/>
      <x:c r="B96" t="str">
        <x:f>IFERROR(VLOOKUP(A96,'상품 손익'!$A$5:$N$104,2,FALSE),"")</x:f>
      </x:c>
      <x:c r="C96" s="159" t="str">
        <x:f>IFERROR(VLOOKUP(A96,'상품 손익'!$A$5:$N$104,7,FALSE),0)</x:f>
      </x:c>
      <x:c r="D96" s="159" t="n">
        <x:f>IFERROR(VLOOKUP(A96,'상품 손익'!$A$5:$N$104,13,FALSE),0)</x:f>
        <x:v>0</x:v>
      </x:c>
      <x:c r="E96" s="199" t="n">
        <x:v>0.1</x:v>
      </x:c>
      <x:c r="F96" s="195" t="n">
        <x:f>IF(C96=0,0,C96*E96/(1+E96))</x:f>
        <x:v>0</x:v>
      </x:c>
      <x:c r="G96" s="201" t="n">
        <x:v>0.15</x:v>
      </x:c>
      <x:c r="H96" s="195" t="n">
        <x:f>MAX(0,(D96-F96)*G96)</x:f>
        <x:v>0</x:v>
      </x:c>
      <x:c r="I96" s="159" t="n">
        <x:f>D96-F96-H96</x:f>
        <x:v>0</x:v>
      </x:c>
      <x:c r="J96" s="203" t="n">
        <x:f>IFERROR(I96/C96,0)</x:f>
        <x:v>0</x:v>
      </x:c>
      <x:c r="K96" s="149" t="str">
        <x:f>IFERROR(VLOOKUP(A96,'재고·판매'!$A$5:$J$104,5,FALSE),0)</x:f>
      </x:c>
      <x:c r="L96" s="159" t="n">
        <x:f>I96*K96</x:f>
        <x:v>0</x:v>
      </x:c>
    </x:row>
    <x:row r="97">
      <x:c r="A97" s="135"/>
      <x:c r="B97" t="str">
        <x:f>IFERROR(VLOOKUP(A97,'상품 손익'!$A$5:$N$104,2,FALSE),"")</x:f>
      </x:c>
      <x:c r="C97" s="159" t="str">
        <x:f>IFERROR(VLOOKUP(A97,'상품 손익'!$A$5:$N$104,7,FALSE),0)</x:f>
      </x:c>
      <x:c r="D97" s="159" t="n">
        <x:f>IFERROR(VLOOKUP(A97,'상품 손익'!$A$5:$N$104,13,FALSE),0)</x:f>
        <x:v>0</x:v>
      </x:c>
      <x:c r="E97" s="199" t="n">
        <x:v>0.1</x:v>
      </x:c>
      <x:c r="F97" s="195" t="n">
        <x:f>IF(C97=0,0,C97*E97/(1+E97))</x:f>
        <x:v>0</x:v>
      </x:c>
      <x:c r="G97" s="201" t="n">
        <x:v>0.15</x:v>
      </x:c>
      <x:c r="H97" s="195" t="n">
        <x:f>MAX(0,(D97-F97)*G97)</x:f>
        <x:v>0</x:v>
      </x:c>
      <x:c r="I97" s="159" t="n">
        <x:f>D97-F97-H97</x:f>
        <x:v>0</x:v>
      </x:c>
      <x:c r="J97" s="203" t="n">
        <x:f>IFERROR(I97/C97,0)</x:f>
        <x:v>0</x:v>
      </x:c>
      <x:c r="K97" s="149" t="str">
        <x:f>IFERROR(VLOOKUP(A97,'재고·판매'!$A$5:$J$104,5,FALSE),0)</x:f>
      </x:c>
      <x:c r="L97" s="159" t="n">
        <x:f>I97*K97</x:f>
        <x:v>0</x:v>
      </x:c>
    </x:row>
    <x:row r="98">
      <x:c r="A98" s="135"/>
      <x:c r="B98" t="str">
        <x:f>IFERROR(VLOOKUP(A98,'상품 손익'!$A$5:$N$104,2,FALSE),"")</x:f>
      </x:c>
      <x:c r="C98" s="159" t="str">
        <x:f>IFERROR(VLOOKUP(A98,'상품 손익'!$A$5:$N$104,7,FALSE),0)</x:f>
      </x:c>
      <x:c r="D98" s="159" t="n">
        <x:f>IFERROR(VLOOKUP(A98,'상품 손익'!$A$5:$N$104,13,FALSE),0)</x:f>
        <x:v>0</x:v>
      </x:c>
      <x:c r="E98" s="199" t="n">
        <x:v>0.1</x:v>
      </x:c>
      <x:c r="F98" s="195" t="n">
        <x:f>IF(C98=0,0,C98*E98/(1+E98))</x:f>
        <x:v>0</x:v>
      </x:c>
      <x:c r="G98" s="201" t="n">
        <x:v>0.15</x:v>
      </x:c>
      <x:c r="H98" s="195" t="n">
        <x:f>MAX(0,(D98-F98)*G98)</x:f>
        <x:v>0</x:v>
      </x:c>
      <x:c r="I98" s="159" t="n">
        <x:f>D98-F98-H98</x:f>
        <x:v>0</x:v>
      </x:c>
      <x:c r="J98" s="203" t="n">
        <x:f>IFERROR(I98/C98,0)</x:f>
        <x:v>0</x:v>
      </x:c>
      <x:c r="K98" s="149" t="str">
        <x:f>IFERROR(VLOOKUP(A98,'재고·판매'!$A$5:$J$104,5,FALSE),0)</x:f>
      </x:c>
      <x:c r="L98" s="159" t="n">
        <x:f>I98*K98</x:f>
        <x:v>0</x:v>
      </x:c>
    </x:row>
    <x:row r="99">
      <x:c r="A99" s="135"/>
      <x:c r="B99" t="str">
        <x:f>IFERROR(VLOOKUP(A99,'상품 손익'!$A$5:$N$104,2,FALSE),"")</x:f>
      </x:c>
      <x:c r="C99" s="159" t="str">
        <x:f>IFERROR(VLOOKUP(A99,'상품 손익'!$A$5:$N$104,7,FALSE),0)</x:f>
      </x:c>
      <x:c r="D99" s="159" t="n">
        <x:f>IFERROR(VLOOKUP(A99,'상품 손익'!$A$5:$N$104,13,FALSE),0)</x:f>
        <x:v>0</x:v>
      </x:c>
      <x:c r="E99" s="199" t="n">
        <x:v>0.1</x:v>
      </x:c>
      <x:c r="F99" s="195" t="n">
        <x:f>IF(C99=0,0,C99*E99/(1+E99))</x:f>
        <x:v>0</x:v>
      </x:c>
      <x:c r="G99" s="201" t="n">
        <x:v>0.15</x:v>
      </x:c>
      <x:c r="H99" s="195" t="n">
        <x:f>MAX(0,(D99-F99)*G99)</x:f>
        <x:v>0</x:v>
      </x:c>
      <x:c r="I99" s="159" t="n">
        <x:f>D99-F99-H99</x:f>
        <x:v>0</x:v>
      </x:c>
      <x:c r="J99" s="203" t="n">
        <x:f>IFERROR(I99/C99,0)</x:f>
        <x:v>0</x:v>
      </x:c>
      <x:c r="K99" s="149" t="str">
        <x:f>IFERROR(VLOOKUP(A99,'재고·판매'!$A$5:$J$104,5,FALSE),0)</x:f>
      </x:c>
      <x:c r="L99" s="159" t="n">
        <x:f>I99*K99</x:f>
        <x:v>0</x:v>
      </x:c>
    </x:row>
    <x:row r="100">
      <x:c r="A100" s="135"/>
      <x:c r="B100" t="str">
        <x:f>IFERROR(VLOOKUP(A100,'상품 손익'!$A$5:$N$104,2,FALSE),"")</x:f>
      </x:c>
      <x:c r="C100" s="159" t="str">
        <x:f>IFERROR(VLOOKUP(A100,'상품 손익'!$A$5:$N$104,7,FALSE),0)</x:f>
      </x:c>
      <x:c r="D100" s="159" t="n">
        <x:f>IFERROR(VLOOKUP(A100,'상품 손익'!$A$5:$N$104,13,FALSE),0)</x:f>
        <x:v>0</x:v>
      </x:c>
      <x:c r="E100" s="199" t="n">
        <x:v>0.1</x:v>
      </x:c>
      <x:c r="F100" s="195" t="n">
        <x:f>IF(C100=0,0,C100*E100/(1+E100))</x:f>
        <x:v>0</x:v>
      </x:c>
      <x:c r="G100" s="201" t="n">
        <x:v>0.15</x:v>
      </x:c>
      <x:c r="H100" s="195" t="n">
        <x:f>MAX(0,(D100-F100)*G100)</x:f>
        <x:v>0</x:v>
      </x:c>
      <x:c r="I100" s="159" t="n">
        <x:f>D100-F100-H100</x:f>
        <x:v>0</x:v>
      </x:c>
      <x:c r="J100" s="203" t="n">
        <x:f>IFERROR(I100/C100,0)</x:f>
        <x:v>0</x:v>
      </x:c>
      <x:c r="K100" s="149" t="str">
        <x:f>IFERROR(VLOOKUP(A100,'재고·판매'!$A$5:$J$104,5,FALSE),0)</x:f>
      </x:c>
      <x:c r="L100" s="159" t="n">
        <x:f>I100*K100</x:f>
        <x:v>0</x:v>
      </x:c>
    </x:row>
    <x:row r="101">
      <x:c r="A101" s="135"/>
      <x:c r="B101" t="str">
        <x:f>IFERROR(VLOOKUP(A101,'상품 손익'!$A$5:$N$104,2,FALSE),"")</x:f>
      </x:c>
      <x:c r="C101" s="159" t="str">
        <x:f>IFERROR(VLOOKUP(A101,'상품 손익'!$A$5:$N$104,7,FALSE),0)</x:f>
      </x:c>
      <x:c r="D101" s="159" t="n">
        <x:f>IFERROR(VLOOKUP(A101,'상품 손익'!$A$5:$N$104,13,FALSE),0)</x:f>
        <x:v>0</x:v>
      </x:c>
      <x:c r="E101" s="199" t="n">
        <x:v>0.1</x:v>
      </x:c>
      <x:c r="F101" s="195" t="n">
        <x:f>IF(C101=0,0,C101*E101/(1+E101))</x:f>
        <x:v>0</x:v>
      </x:c>
      <x:c r="G101" s="201" t="n">
        <x:v>0.15</x:v>
      </x:c>
      <x:c r="H101" s="195" t="n">
        <x:f>MAX(0,(D101-F101)*G101)</x:f>
        <x:v>0</x:v>
      </x:c>
      <x:c r="I101" s="159" t="n">
        <x:f>D101-F101-H101</x:f>
        <x:v>0</x:v>
      </x:c>
      <x:c r="J101" s="203" t="n">
        <x:f>IFERROR(I101/C101,0)</x:f>
        <x:v>0</x:v>
      </x:c>
      <x:c r="K101" s="149" t="str">
        <x:f>IFERROR(VLOOKUP(A101,'재고·판매'!$A$5:$J$104,5,FALSE),0)</x:f>
      </x:c>
      <x:c r="L101" s="159" t="n">
        <x:f>I101*K101</x:f>
        <x:v>0</x:v>
      </x:c>
    </x:row>
    <x:row r="102">
      <x:c r="A102" s="135"/>
      <x:c r="B102" t="str">
        <x:f>IFERROR(VLOOKUP(A102,'상품 손익'!$A$5:$N$104,2,FALSE),"")</x:f>
      </x:c>
      <x:c r="C102" s="159" t="str">
        <x:f>IFERROR(VLOOKUP(A102,'상품 손익'!$A$5:$N$104,7,FALSE),0)</x:f>
      </x:c>
      <x:c r="D102" s="159" t="n">
        <x:f>IFERROR(VLOOKUP(A102,'상품 손익'!$A$5:$N$104,13,FALSE),0)</x:f>
        <x:v>0</x:v>
      </x:c>
      <x:c r="E102" s="199" t="n">
        <x:v>0.1</x:v>
      </x:c>
      <x:c r="F102" s="195" t="n">
        <x:f>IF(C102=0,0,C102*E102/(1+E102))</x:f>
        <x:v>0</x:v>
      </x:c>
      <x:c r="G102" s="201" t="n">
        <x:v>0.15</x:v>
      </x:c>
      <x:c r="H102" s="195" t="n">
        <x:f>MAX(0,(D102-F102)*G102)</x:f>
        <x:v>0</x:v>
      </x:c>
      <x:c r="I102" s="159" t="n">
        <x:f>D102-F102-H102</x:f>
        <x:v>0</x:v>
      </x:c>
      <x:c r="J102" s="203" t="n">
        <x:f>IFERROR(I102/C102,0)</x:f>
        <x:v>0</x:v>
      </x:c>
      <x:c r="K102" s="149" t="str">
        <x:f>IFERROR(VLOOKUP(A102,'재고·판매'!$A$5:$J$104,5,FALSE),0)</x:f>
      </x:c>
      <x:c r="L102" s="159" t="n">
        <x:f>I102*K102</x:f>
        <x:v>0</x:v>
      </x:c>
    </x:row>
    <x:row r="103">
      <x:c r="A103" s="135"/>
      <x:c r="B103" t="str">
        <x:f>IFERROR(VLOOKUP(A103,'상품 손익'!$A$5:$N$104,2,FALSE),"")</x:f>
      </x:c>
      <x:c r="C103" s="159" t="str">
        <x:f>IFERROR(VLOOKUP(A103,'상품 손익'!$A$5:$N$104,7,FALSE),0)</x:f>
      </x:c>
      <x:c r="D103" s="159" t="n">
        <x:f>IFERROR(VLOOKUP(A103,'상품 손익'!$A$5:$N$104,13,FALSE),0)</x:f>
        <x:v>0</x:v>
      </x:c>
      <x:c r="E103" s="199" t="n">
        <x:v>0.1</x:v>
      </x:c>
      <x:c r="F103" s="195" t="n">
        <x:f>IF(C103=0,0,C103*E103/(1+E103))</x:f>
        <x:v>0</x:v>
      </x:c>
      <x:c r="G103" s="201" t="n">
        <x:v>0.15</x:v>
      </x:c>
      <x:c r="H103" s="195" t="n">
        <x:f>MAX(0,(D103-F103)*G103)</x:f>
        <x:v>0</x:v>
      </x:c>
      <x:c r="I103" s="159" t="n">
        <x:f>D103-F103-H103</x:f>
        <x:v>0</x:v>
      </x:c>
      <x:c r="J103" s="203" t="n">
        <x:f>IFERROR(I103/C103,0)</x:f>
        <x:v>0</x:v>
      </x:c>
      <x:c r="K103" s="149" t="str">
        <x:f>IFERROR(VLOOKUP(A103,'재고·판매'!$A$5:$J$104,5,FALSE),0)</x:f>
      </x:c>
      <x:c r="L103" s="159" t="n">
        <x:f>I103*K103</x:f>
        <x:v>0</x:v>
      </x:c>
    </x:row>
    <x:row r="104">
      <x:c r="A104" s="135"/>
      <x:c r="B104" t="str">
        <x:f>IFERROR(VLOOKUP(A104,'상품 손익'!$A$5:$N$104,2,FALSE),"")</x:f>
      </x:c>
      <x:c r="C104" s="159" t="str">
        <x:f>IFERROR(VLOOKUP(A104,'상품 손익'!$A$5:$N$104,7,FALSE),0)</x:f>
      </x:c>
      <x:c r="D104" s="159" t="n">
        <x:f>IFERROR(VLOOKUP(A104,'상품 손익'!$A$5:$N$104,13,FALSE),0)</x:f>
        <x:v>0</x:v>
      </x:c>
      <x:c r="E104" s="199" t="n">
        <x:v>0.1</x:v>
      </x:c>
      <x:c r="F104" s="195" t="n">
        <x:f>IF(C104=0,0,C104*E104/(1+E104))</x:f>
        <x:v>0</x:v>
      </x:c>
      <x:c r="G104" s="201" t="n">
        <x:v>0.15</x:v>
      </x:c>
      <x:c r="H104" s="195" t="n">
        <x:f>MAX(0,(D104-F104)*G104)</x:f>
        <x:v>0</x:v>
      </x:c>
      <x:c r="I104" s="159" t="n">
        <x:f>D104-F104-H104</x:f>
        <x:v>0</x:v>
      </x:c>
      <x:c r="J104" s="203" t="n">
        <x:f>IFERROR(I104/C104,0)</x:f>
        <x:v>0</x:v>
      </x:c>
      <x:c r="K104" s="149" t="str">
        <x:f>IFERROR(VLOOKUP(A104,'재고·판매'!$A$5:$J$104,5,FALSE),0)</x:f>
      </x:c>
      <x:c r="L104" s="159" t="n">
        <x:f>I104*K104</x:f>
        <x:v>0</x:v>
      </x:c>
    </x:row>
  </x:sheetData>
  <x:mergeCells>
    <x:mergeCell ref="A1:L1"/>
    <x:mergeCell ref="A2:L2"/>
    <x:mergeCell ref="N1:O1"/>
  </x:mergeCells>
  <x:pageMargins left="0.7" right="0.7" top="0.75" bottom="0.75" header="0.3" footer="0.3"/>
</x:worksheet>
</file>